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13691415-COACHX_ASSIGNMENTS_1-7\"/>
    </mc:Choice>
  </mc:AlternateContent>
  <xr:revisionPtr revIDLastSave="0" documentId="13_ncr:1_{335F83A0-3EFC-4363-9518-80B5A31DAEC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149" i="2" l="1" a="1"/>
  <c r="V149" i="2" s="1"/>
  <c r="V148" i="2" a="1"/>
  <c r="V148" i="2" s="1"/>
  <c r="V147" i="2" a="1"/>
  <c r="V147" i="2" s="1"/>
  <c r="V146" i="2" a="1"/>
  <c r="V146" i="2" s="1"/>
  <c r="V145" i="2" a="1"/>
  <c r="V145" i="2" s="1"/>
  <c r="V144" i="2" a="1"/>
  <c r="V144" i="2" s="1"/>
  <c r="V143" i="2" a="1"/>
  <c r="V143" i="2" s="1"/>
  <c r="V142" i="2" a="1"/>
  <c r="V142" i="2" s="1"/>
  <c r="V141" i="2" a="1"/>
  <c r="V141" i="2" s="1"/>
  <c r="V140" i="2" a="1"/>
  <c r="V140" i="2" s="1"/>
  <c r="V139" i="2" a="1"/>
  <c r="V139" i="2" s="1"/>
  <c r="V138" i="2" a="1"/>
  <c r="V138" i="2" s="1"/>
  <c r="V137" i="2" a="1"/>
  <c r="V137" i="2" s="1"/>
  <c r="V136" i="2" a="1"/>
  <c r="V136" i="2" s="1"/>
  <c r="V135" i="2" a="1"/>
  <c r="V135" i="2" s="1"/>
  <c r="V134" i="2" a="1"/>
  <c r="V134" i="2" s="1"/>
  <c r="V133" i="2" a="1"/>
  <c r="V133" i="2" s="1"/>
  <c r="V132" i="2" a="1"/>
  <c r="V132" i="2" s="1"/>
  <c r="V131" i="2" a="1"/>
  <c r="V131" i="2" s="1"/>
  <c r="V130" i="2" a="1"/>
  <c r="V130" i="2" s="1"/>
  <c r="V129" i="2" a="1"/>
  <c r="V129" i="2" s="1"/>
  <c r="V128" i="2" a="1"/>
  <c r="V128" i="2" s="1"/>
  <c r="V127" i="2" a="1"/>
  <c r="V127" i="2" s="1"/>
  <c r="V126" i="2" a="1"/>
  <c r="V126" i="2" s="1"/>
  <c r="V125" i="2" a="1"/>
  <c r="V125" i="2" s="1"/>
  <c r="V124" i="2" a="1"/>
  <c r="V124" i="2" s="1"/>
  <c r="V123" i="2" a="1"/>
  <c r="V123" i="2" s="1"/>
  <c r="V122" i="2" a="1"/>
  <c r="V122" i="2" s="1"/>
  <c r="V121" i="2" a="1"/>
  <c r="V121" i="2" s="1"/>
  <c r="V120" i="2" a="1"/>
  <c r="V120" i="2" s="1"/>
  <c r="V119" i="2" a="1"/>
  <c r="V119" i="2" s="1"/>
  <c r="V118" i="2"/>
  <c r="V118" i="2" a="1"/>
  <c r="V117" i="2" a="1"/>
  <c r="V117" i="2" s="1"/>
  <c r="V116" i="2" a="1"/>
  <c r="V116" i="2" s="1"/>
  <c r="V115" i="2" a="1"/>
  <c r="V115" i="2" s="1"/>
  <c r="V114" i="2" a="1"/>
  <c r="V114" i="2" s="1"/>
  <c r="V113" i="2" a="1"/>
  <c r="V113" i="2" s="1"/>
  <c r="V112" i="2" a="1"/>
  <c r="V112" i="2" s="1"/>
  <c r="V111" i="2" a="1"/>
  <c r="V111" i="2" s="1"/>
  <c r="V110" i="2" a="1"/>
  <c r="V110" i="2" s="1"/>
  <c r="V109" i="2" a="1"/>
  <c r="V109" i="2" s="1"/>
  <c r="V108" i="2" a="1"/>
  <c r="V108" i="2" s="1"/>
  <c r="V107" i="2" a="1"/>
  <c r="V107" i="2" s="1"/>
  <c r="V106" i="2"/>
  <c r="V106" i="2" a="1"/>
  <c r="V105" i="2" a="1"/>
  <c r="V105" i="2" s="1"/>
  <c r="V104" i="2" a="1"/>
  <c r="V104" i="2" s="1"/>
  <c r="V103" i="2" a="1"/>
  <c r="V103" i="2" s="1"/>
  <c r="V102" i="2" a="1"/>
  <c r="V102" i="2" s="1"/>
  <c r="V101" i="2" a="1"/>
  <c r="V101" i="2" s="1"/>
  <c r="V100" i="2" a="1"/>
  <c r="V100" i="2" s="1"/>
  <c r="V99" i="2" a="1"/>
  <c r="V99" i="2" s="1"/>
  <c r="V98" i="2"/>
  <c r="V98" i="2" a="1"/>
  <c r="V97" i="2" a="1"/>
  <c r="V97" i="2" s="1"/>
  <c r="V96" i="2" a="1"/>
  <c r="V96" i="2" s="1"/>
  <c r="V95" i="2" a="1"/>
  <c r="V95" i="2" s="1"/>
  <c r="V94" i="2" a="1"/>
  <c r="V94" i="2" s="1"/>
  <c r="V93" i="2" a="1"/>
  <c r="V93" i="2" s="1"/>
  <c r="V92" i="2" a="1"/>
  <c r="V92" i="2" s="1"/>
  <c r="V91" i="2" a="1"/>
  <c r="V91" i="2" s="1"/>
  <c r="V90" i="2"/>
  <c r="V90" i="2" a="1"/>
  <c r="V89" i="2" a="1"/>
  <c r="V89" i="2" s="1"/>
  <c r="V88" i="2" a="1"/>
  <c r="V88" i="2" s="1"/>
  <c r="V87" i="2" a="1"/>
  <c r="V87" i="2" s="1"/>
  <c r="V86" i="2" a="1"/>
  <c r="V86" i="2" s="1"/>
  <c r="V85" i="2" a="1"/>
  <c r="V85" i="2" s="1"/>
  <c r="V84" i="2" a="1"/>
  <c r="V84" i="2" s="1"/>
  <c r="V83" i="2" a="1"/>
  <c r="V83" i="2" s="1"/>
  <c r="V82" i="2"/>
  <c r="V82" i="2" a="1"/>
  <c r="V81" i="2" a="1"/>
  <c r="V81" i="2" s="1"/>
  <c r="V80" i="2" a="1"/>
  <c r="V80" i="2" s="1"/>
  <c r="V79" i="2" a="1"/>
  <c r="V79" i="2" s="1"/>
  <c r="V78" i="2" a="1"/>
  <c r="V78" i="2" s="1"/>
  <c r="V77" i="2" a="1"/>
  <c r="V77" i="2" s="1"/>
  <c r="V76" i="2" a="1"/>
  <c r="V76" i="2" s="1"/>
  <c r="V75" i="2" a="1"/>
  <c r="V75" i="2" s="1"/>
  <c r="V74" i="2"/>
  <c r="V74" i="2" a="1"/>
  <c r="V73" i="2" a="1"/>
  <c r="V73" i="2" s="1"/>
  <c r="V72" i="2" a="1"/>
  <c r="V72" i="2" s="1"/>
  <c r="V71" i="2" a="1"/>
  <c r="V71" i="2" s="1"/>
  <c r="V70" i="2" a="1"/>
  <c r="V70" i="2" s="1"/>
  <c r="V69" i="2" a="1"/>
  <c r="V69" i="2" s="1"/>
  <c r="V68" i="2" a="1"/>
  <c r="V68" i="2" s="1"/>
  <c r="V67" i="2" a="1"/>
  <c r="V67" i="2" s="1"/>
  <c r="V66" i="2"/>
  <c r="V66" i="2" a="1"/>
  <c r="V65" i="2" a="1"/>
  <c r="V65" i="2" s="1"/>
  <c r="V64" i="2" a="1"/>
  <c r="V64" i="2" s="1"/>
  <c r="V63" i="2" a="1"/>
  <c r="V63" i="2" s="1"/>
  <c r="V62" i="2" a="1"/>
  <c r="V62" i="2" s="1"/>
  <c r="V61" i="2" a="1"/>
  <c r="V61" i="2" s="1"/>
  <c r="V60" i="2" a="1"/>
  <c r="V60" i="2" s="1"/>
  <c r="V59" i="2" a="1"/>
  <c r="V59" i="2" s="1"/>
  <c r="V58" i="2"/>
  <c r="V58" i="2" a="1"/>
  <c r="V57" i="2" a="1"/>
  <c r="V57" i="2" s="1"/>
  <c r="V56" i="2" a="1"/>
  <c r="V56" i="2" s="1"/>
  <c r="V55" i="2" a="1"/>
  <c r="V55" i="2" s="1"/>
  <c r="V54" i="2" a="1"/>
  <c r="V54" i="2" s="1"/>
  <c r="V53" i="2" a="1"/>
  <c r="V53" i="2" s="1"/>
  <c r="V52" i="2" a="1"/>
  <c r="V52" i="2" s="1"/>
  <c r="V51" i="2" a="1"/>
  <c r="V51" i="2" s="1"/>
  <c r="V50" i="2"/>
  <c r="V50" i="2" a="1"/>
  <c r="V49" i="2" a="1"/>
  <c r="V49" i="2" s="1"/>
  <c r="V48" i="2" a="1"/>
  <c r="V48" i="2" s="1"/>
  <c r="V47" i="2" a="1"/>
  <c r="V47" i="2" s="1"/>
  <c r="V46" i="2" a="1"/>
  <c r="V46" i="2" s="1"/>
  <c r="V45" i="2" a="1"/>
  <c r="V45" i="2" s="1"/>
  <c r="V44" i="2" a="1"/>
  <c r="V44" i="2" s="1"/>
  <c r="V43" i="2" a="1"/>
  <c r="V43" i="2" s="1"/>
  <c r="V42" i="2"/>
  <c r="V42" i="2" a="1"/>
  <c r="V41" i="2" a="1"/>
  <c r="V41" i="2" s="1"/>
  <c r="V40" i="2" a="1"/>
  <c r="V40" i="2" s="1"/>
  <c r="V39" i="2" a="1"/>
  <c r="V39" i="2" s="1"/>
  <c r="V38" i="2" a="1"/>
  <c r="V38" i="2" s="1"/>
  <c r="V37" i="2" a="1"/>
  <c r="V37" i="2" s="1"/>
  <c r="V36" i="2" a="1"/>
  <c r="V36" i="2" s="1"/>
  <c r="V35" i="2" a="1"/>
  <c r="V35" i="2" s="1"/>
  <c r="V34" i="2"/>
  <c r="V34" i="2" a="1"/>
  <c r="V33" i="2" a="1"/>
  <c r="V33" i="2" s="1"/>
  <c r="V32" i="2" a="1"/>
  <c r="V32" i="2" s="1"/>
  <c r="V31" i="2" a="1"/>
  <c r="V31" i="2" s="1"/>
  <c r="V30" i="2" a="1"/>
  <c r="V30" i="2" s="1"/>
  <c r="V29" i="2" a="1"/>
  <c r="V29" i="2" s="1"/>
  <c r="V28" i="2" a="1"/>
  <c r="V28" i="2" s="1"/>
  <c r="V27" i="2" a="1"/>
  <c r="V27" i="2" s="1"/>
  <c r="V26" i="2"/>
  <c r="V26" i="2" a="1"/>
  <c r="V25" i="2" a="1"/>
  <c r="V25" i="2" s="1"/>
  <c r="V24" i="2" a="1"/>
  <c r="V24" i="2" s="1"/>
  <c r="V23" i="2" a="1"/>
  <c r="V23" i="2" s="1"/>
  <c r="V22" i="2" a="1"/>
  <c r="V22" i="2" s="1"/>
  <c r="V21" i="2" a="1"/>
  <c r="V21" i="2" s="1"/>
  <c r="V20" i="2" a="1"/>
  <c r="V20" i="2" s="1"/>
  <c r="V19" i="2" a="1"/>
  <c r="V19" i="2" s="1"/>
  <c r="V18" i="2"/>
  <c r="V18" i="2" a="1"/>
  <c r="V17" i="2" a="1"/>
  <c r="V17" i="2" s="1"/>
  <c r="V16" i="2" a="1"/>
  <c r="V16" i="2" s="1"/>
  <c r="V15" i="2" a="1"/>
  <c r="V15" i="2" s="1"/>
  <c r="V14" i="2" a="1"/>
  <c r="V14" i="2" s="1"/>
  <c r="V13" i="2" a="1"/>
  <c r="V13" i="2" s="1"/>
  <c r="V12" i="2" a="1"/>
  <c r="V12" i="2" s="1"/>
  <c r="V11" i="2" a="1"/>
  <c r="V11" i="2" s="1"/>
  <c r="V10" i="2"/>
  <c r="V10" i="2" a="1"/>
  <c r="V9" i="2" a="1"/>
  <c r="V9" i="2" s="1"/>
  <c r="V8" i="2" a="1"/>
  <c r="V8" i="2" s="1"/>
  <c r="V7" i="2" a="1"/>
  <c r="V7" i="2" s="1"/>
  <c r="V6" i="2" a="1"/>
  <c r="V6" i="2" s="1"/>
  <c r="V5" i="2" a="1"/>
  <c r="V5" i="2" s="1"/>
  <c r="V4" i="2" a="1"/>
  <c r="V4" i="2" s="1"/>
  <c r="U1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9" i="2"/>
  <c r="U8" i="2"/>
  <c r="U7" i="2"/>
  <c r="U6" i="2"/>
  <c r="U5" i="2"/>
  <c r="U4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S149" i="2" a="1"/>
  <c r="S149" i="2" s="1"/>
  <c r="S148" i="2" a="1"/>
  <c r="S148" i="2" s="1"/>
  <c r="S147" i="2" a="1"/>
  <c r="S147" i="2" s="1"/>
  <c r="S146" i="2" a="1"/>
  <c r="S146" i="2" s="1"/>
  <c r="S145" i="2" a="1"/>
  <c r="S145" i="2" s="1"/>
  <c r="S144" i="2" a="1"/>
  <c r="S144" i="2" s="1"/>
  <c r="S143" i="2" a="1"/>
  <c r="S143" i="2" s="1"/>
  <c r="S142" i="2" a="1"/>
  <c r="S142" i="2" s="1"/>
  <c r="S141" i="2" a="1"/>
  <c r="S141" i="2" s="1"/>
  <c r="S140" i="2" a="1"/>
  <c r="S140" i="2" s="1"/>
  <c r="S139" i="2" a="1"/>
  <c r="S139" i="2" s="1"/>
  <c r="S138" i="2" a="1"/>
  <c r="S138" i="2" s="1"/>
  <c r="S137" i="2" a="1"/>
  <c r="S137" i="2" s="1"/>
  <c r="S136" i="2" a="1"/>
  <c r="S136" i="2" s="1"/>
  <c r="S135" i="2" a="1"/>
  <c r="S135" i="2" s="1"/>
  <c r="S134" i="2" a="1"/>
  <c r="S134" i="2" s="1"/>
  <c r="S133" i="2" a="1"/>
  <c r="S133" i="2" s="1"/>
  <c r="S132" i="2" a="1"/>
  <c r="S132" i="2" s="1"/>
  <c r="S131" i="2" a="1"/>
  <c r="S131" i="2" s="1"/>
  <c r="S130" i="2" a="1"/>
  <c r="S130" i="2" s="1"/>
  <c r="S129" i="2" a="1"/>
  <c r="S129" i="2" s="1"/>
  <c r="S128" i="2" a="1"/>
  <c r="S128" i="2" s="1"/>
  <c r="S127" i="2" a="1"/>
  <c r="S127" i="2" s="1"/>
  <c r="S126" i="2" a="1"/>
  <c r="S126" i="2" s="1"/>
  <c r="S125" i="2" a="1"/>
  <c r="S125" i="2" s="1"/>
  <c r="S124" i="2" a="1"/>
  <c r="S124" i="2" s="1"/>
  <c r="S123" i="2" a="1"/>
  <c r="S123" i="2" s="1"/>
  <c r="S122" i="2" a="1"/>
  <c r="S122" i="2" s="1"/>
  <c r="S121" i="2" a="1"/>
  <c r="S121" i="2" s="1"/>
  <c r="S120" i="2" a="1"/>
  <c r="S120" i="2" s="1"/>
  <c r="S119" i="2" a="1"/>
  <c r="S119" i="2" s="1"/>
  <c r="S118" i="2"/>
  <c r="S118" i="2" a="1"/>
  <c r="S117" i="2" a="1"/>
  <c r="S117" i="2" s="1"/>
  <c r="S116" i="2" a="1"/>
  <c r="S116" i="2" s="1"/>
  <c r="S115" i="2" a="1"/>
  <c r="S115" i="2" s="1"/>
  <c r="S114" i="2" a="1"/>
  <c r="S114" i="2" s="1"/>
  <c r="S113" i="2" a="1"/>
  <c r="S113" i="2" s="1"/>
  <c r="S112" i="2" a="1"/>
  <c r="S112" i="2" s="1"/>
  <c r="S111" i="2" a="1"/>
  <c r="S111" i="2" s="1"/>
  <c r="S110" i="2"/>
  <c r="S110" i="2" a="1"/>
  <c r="S109" i="2" a="1"/>
  <c r="S109" i="2" s="1"/>
  <c r="S108" i="2" a="1"/>
  <c r="S108" i="2" s="1"/>
  <c r="S107" i="2" a="1"/>
  <c r="S107" i="2" s="1"/>
  <c r="S106" i="2" a="1"/>
  <c r="S106" i="2" s="1"/>
  <c r="S105" i="2" a="1"/>
  <c r="S105" i="2" s="1"/>
  <c r="S104" i="2" a="1"/>
  <c r="S104" i="2" s="1"/>
  <c r="S103" i="2" a="1"/>
  <c r="S103" i="2" s="1"/>
  <c r="S102" i="2"/>
  <c r="S102" i="2" a="1"/>
  <c r="S101" i="2" a="1"/>
  <c r="S101" i="2" s="1"/>
  <c r="S100" i="2" a="1"/>
  <c r="S100" i="2" s="1"/>
  <c r="S99" i="2" a="1"/>
  <c r="S99" i="2" s="1"/>
  <c r="S98" i="2" a="1"/>
  <c r="S98" i="2" s="1"/>
  <c r="S97" i="2" a="1"/>
  <c r="S97" i="2" s="1"/>
  <c r="S96" i="2" a="1"/>
  <c r="S96" i="2" s="1"/>
  <c r="S95" i="2" a="1"/>
  <c r="S95" i="2" s="1"/>
  <c r="S94" i="2"/>
  <c r="S94" i="2" a="1"/>
  <c r="S93" i="2" a="1"/>
  <c r="S93" i="2" s="1"/>
  <c r="S92" i="2" a="1"/>
  <c r="S92" i="2" s="1"/>
  <c r="S91" i="2" a="1"/>
  <c r="S91" i="2" s="1"/>
  <c r="S90" i="2" a="1"/>
  <c r="S90" i="2" s="1"/>
  <c r="S89" i="2" a="1"/>
  <c r="S89" i="2" s="1"/>
  <c r="S88" i="2" a="1"/>
  <c r="S88" i="2" s="1"/>
  <c r="S87" i="2" a="1"/>
  <c r="S87" i="2" s="1"/>
  <c r="S86" i="2"/>
  <c r="S86" i="2" a="1"/>
  <c r="S85" i="2" a="1"/>
  <c r="S85" i="2" s="1"/>
  <c r="S84" i="2" a="1"/>
  <c r="S84" i="2" s="1"/>
  <c r="S83" i="2" a="1"/>
  <c r="S83" i="2" s="1"/>
  <c r="S82" i="2" a="1"/>
  <c r="S82" i="2" s="1"/>
  <c r="S81" i="2" a="1"/>
  <c r="S81" i="2" s="1"/>
  <c r="S80" i="2" a="1"/>
  <c r="S80" i="2" s="1"/>
  <c r="S79" i="2" a="1"/>
  <c r="S79" i="2" s="1"/>
  <c r="S78" i="2"/>
  <c r="S78" i="2" a="1"/>
  <c r="S77" i="2" a="1"/>
  <c r="S77" i="2" s="1"/>
  <c r="S76" i="2" a="1"/>
  <c r="S76" i="2" s="1"/>
  <c r="S75" i="2" a="1"/>
  <c r="S75" i="2" s="1"/>
  <c r="S74" i="2" a="1"/>
  <c r="S74" i="2" s="1"/>
  <c r="S73" i="2" a="1"/>
  <c r="S73" i="2" s="1"/>
  <c r="S72" i="2" a="1"/>
  <c r="S72" i="2" s="1"/>
  <c r="S71" i="2" a="1"/>
  <c r="S71" i="2" s="1"/>
  <c r="S70" i="2"/>
  <c r="S70" i="2" a="1"/>
  <c r="S69" i="2" a="1"/>
  <c r="S69" i="2" s="1"/>
  <c r="S68" i="2" a="1"/>
  <c r="S68" i="2" s="1"/>
  <c r="S67" i="2" a="1"/>
  <c r="S67" i="2" s="1"/>
  <c r="S66" i="2" a="1"/>
  <c r="S66" i="2" s="1"/>
  <c r="S65" i="2" a="1"/>
  <c r="S65" i="2" s="1"/>
  <c r="S64" i="2" a="1"/>
  <c r="S64" i="2" s="1"/>
  <c r="S63" i="2" a="1"/>
  <c r="S63" i="2" s="1"/>
  <c r="S62" i="2"/>
  <c r="S62" i="2" a="1"/>
  <c r="S61" i="2" a="1"/>
  <c r="S61" i="2" s="1"/>
  <c r="S60" i="2" a="1"/>
  <c r="S60" i="2" s="1"/>
  <c r="S59" i="2" a="1"/>
  <c r="S59" i="2" s="1"/>
  <c r="S58" i="2" a="1"/>
  <c r="S58" i="2" s="1"/>
  <c r="S57" i="2" a="1"/>
  <c r="S57" i="2" s="1"/>
  <c r="S56" i="2" a="1"/>
  <c r="S56" i="2" s="1"/>
  <c r="S55" i="2" a="1"/>
  <c r="S55" i="2" s="1"/>
  <c r="S54" i="2"/>
  <c r="S54" i="2" a="1"/>
  <c r="S53" i="2" a="1"/>
  <c r="S53" i="2" s="1"/>
  <c r="S52" i="2" a="1"/>
  <c r="S52" i="2" s="1"/>
  <c r="S51" i="2" a="1"/>
  <c r="S51" i="2" s="1"/>
  <c r="S50" i="2" a="1"/>
  <c r="S50" i="2" s="1"/>
  <c r="S49" i="2" a="1"/>
  <c r="S49" i="2" s="1"/>
  <c r="S48" i="2" a="1"/>
  <c r="S48" i="2" s="1"/>
  <c r="S47" i="2" a="1"/>
  <c r="S47" i="2" s="1"/>
  <c r="S46" i="2"/>
  <c r="S46" i="2" a="1"/>
  <c r="S45" i="2" a="1"/>
  <c r="S45" i="2" s="1"/>
  <c r="S44" i="2" a="1"/>
  <c r="S44" i="2" s="1"/>
  <c r="S43" i="2" a="1"/>
  <c r="S43" i="2" s="1"/>
  <c r="S42" i="2" a="1"/>
  <c r="S42" i="2" s="1"/>
  <c r="S41" i="2" a="1"/>
  <c r="S41" i="2" s="1"/>
  <c r="S40" i="2" a="1"/>
  <c r="S40" i="2" s="1"/>
  <c r="S39" i="2" a="1"/>
  <c r="S39" i="2" s="1"/>
  <c r="S38" i="2"/>
  <c r="S38" i="2" a="1"/>
  <c r="S37" i="2" a="1"/>
  <c r="S37" i="2" s="1"/>
  <c r="S36" i="2" a="1"/>
  <c r="S36" i="2" s="1"/>
  <c r="S35" i="2" a="1"/>
  <c r="S35" i="2" s="1"/>
  <c r="S34" i="2" a="1"/>
  <c r="S34" i="2" s="1"/>
  <c r="S33" i="2" a="1"/>
  <c r="S33" i="2" s="1"/>
  <c r="S32" i="2" a="1"/>
  <c r="S32" i="2" s="1"/>
  <c r="S31" i="2" a="1"/>
  <c r="S31" i="2" s="1"/>
  <c r="S30" i="2"/>
  <c r="S30" i="2" a="1"/>
  <c r="S29" i="2" a="1"/>
  <c r="S29" i="2" s="1"/>
  <c r="S28" i="2" a="1"/>
  <c r="S28" i="2" s="1"/>
  <c r="S27" i="2" a="1"/>
  <c r="S27" i="2" s="1"/>
  <c r="S26" i="2" a="1"/>
  <c r="S26" i="2" s="1"/>
  <c r="S25" i="2" a="1"/>
  <c r="S25" i="2" s="1"/>
  <c r="S24" i="2" a="1"/>
  <c r="S24" i="2" s="1"/>
  <c r="S23" i="2" a="1"/>
  <c r="S23" i="2" s="1"/>
  <c r="S22" i="2"/>
  <c r="S22" i="2" a="1"/>
  <c r="S21" i="2" a="1"/>
  <c r="S21" i="2" s="1"/>
  <c r="S20" i="2" a="1"/>
  <c r="S20" i="2" s="1"/>
  <c r="S19" i="2" a="1"/>
  <c r="S19" i="2" s="1"/>
  <c r="S18" i="2" a="1"/>
  <c r="S18" i="2" s="1"/>
  <c r="S17" i="2" a="1"/>
  <c r="S17" i="2" s="1"/>
  <c r="S16" i="2" a="1"/>
  <c r="S16" i="2" s="1"/>
  <c r="S15" i="2" a="1"/>
  <c r="S15" i="2" s="1"/>
  <c r="S14" i="2"/>
  <c r="S14" i="2" a="1"/>
  <c r="S13" i="2" a="1"/>
  <c r="S13" i="2" s="1"/>
  <c r="S12" i="2" a="1"/>
  <c r="S12" i="2" s="1"/>
  <c r="S11" i="2" a="1"/>
  <c r="S11" i="2" s="1"/>
  <c r="S10" i="2" a="1"/>
  <c r="S10" i="2" s="1"/>
  <c r="S9" i="2" a="1"/>
  <c r="S9" i="2" s="1"/>
  <c r="S8" i="2" a="1"/>
  <c r="S8" i="2" s="1"/>
  <c r="S7" i="2" a="1"/>
  <c r="S7" i="2" s="1"/>
  <c r="S6" i="2"/>
  <c r="S6" i="2" a="1"/>
  <c r="S5" i="2" a="1"/>
  <c r="S5" i="2" s="1"/>
  <c r="S4" i="2" a="1"/>
  <c r="S4" i="2" s="1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Q4" i="2" a="1"/>
  <c r="Q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<sst xmlns="http://schemas.openxmlformats.org/spreadsheetml/2006/main" count="1805" uniqueCount="721">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</sst>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H9" sqref="H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1" t="s">
        <v>0</v>
      </c>
      <c r="B1" s="22"/>
      <c r="C1" s="22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20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J1" workbookViewId="0">
      <selection activeCell="V11" sqref="V11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 cm="1">
        <f t="array" ref="Q4:Q149">IF(N4:N149="very poor","Terminated"," Go")</f>
        <v>Terminated</v>
      </c>
      <c r="R4" s="18">
        <f>IF(N4="very good",P4*5%,0)</f>
        <v>0</v>
      </c>
      <c r="S4" s="15" t="str" cm="1">
        <f t="array" ref="S4">_xlfn.IFS(P4&lt;=40000,"Low",AND(P4&gt;41000,P4&lt;=80000),"mid",P4&gt;80000,"high")</f>
        <v>high</v>
      </c>
      <c r="T4" s="15" t="str">
        <f>IF(AND(L4="HR",I4="Mumbai"),"work from home","No WFH")</f>
        <v>No WFH</v>
      </c>
      <c r="U4" s="15" t="str">
        <f>IF(OR(L4="finance",L4="Hr"),"work from home","NoWFH")</f>
        <v>work from home</v>
      </c>
      <c r="V4" s="19" cm="1">
        <f t="array" ref="V4" xml:space="preserve"> _xlfn.IFS(N4="Very Good",15%,N4="Good",12%,N4="average",10%,TRUE,0)</f>
        <v>0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v xml:space="preserve"> Go</v>
      </c>
      <c r="R5" s="18">
        <f t="shared" ref="R5:R68" si="0">IF(N5="very good",P5*5%,0)</f>
        <v>0</v>
      </c>
      <c r="S5" s="15" t="str" cm="1">
        <f t="array" ref="S5">_xlfn.IFS(P5&lt;=40000,"Low",AND(P5&gt;41000,P5&lt;=80000),"mid",P5&gt;80000,"high")</f>
        <v>Low</v>
      </c>
      <c r="T5" s="15" t="str">
        <f t="shared" ref="T5:T68" si="1">IF(AND(L5="HR",I5="Mumbai"),"work from home","No WFH")</f>
        <v>No WFH</v>
      </c>
      <c r="U5" s="15" t="str">
        <f t="shared" ref="U5:U68" si="2">IF(OR(L5="finance",L5="Hr"),"work from home","NoWFH")</f>
        <v>work from home</v>
      </c>
      <c r="V5" s="19" cm="1">
        <f t="array" ref="V5" xml:space="preserve"> _xlfn.IFS(N5="Very Good",15%,N5="Good",12%,N5="average",10%,TRUE,0)</f>
        <v>0.12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v>Terminated</v>
      </c>
      <c r="R6" s="18">
        <f t="shared" si="0"/>
        <v>0</v>
      </c>
      <c r="S6" s="15" t="str" cm="1">
        <f t="array" ref="S6">_xlfn.IFS(P6&lt;=40000,"Low",AND(P6&gt;41000,P6&lt;=80000),"mid",P6&gt;80000,"high")</f>
        <v>high</v>
      </c>
      <c r="T6" s="15" t="str">
        <f t="shared" si="1"/>
        <v>work from home</v>
      </c>
      <c r="U6" s="15" t="str">
        <f t="shared" si="2"/>
        <v>work from home</v>
      </c>
      <c r="V6" s="19" cm="1">
        <f t="array" ref="V6" xml:space="preserve"> _xlfn.IFS(N6="Very Good",15%,N6="Good",12%,N6="average",10%,TRUE,0)</f>
        <v>0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v xml:space="preserve"> Go</v>
      </c>
      <c r="R7" s="18">
        <f t="shared" si="0"/>
        <v>0</v>
      </c>
      <c r="S7" s="15" t="str" cm="1">
        <f t="array" ref="S7">_xlfn.IFS(P7&lt;=40000,"Low",AND(P7&gt;41000,P7&lt;=80000),"mid",P7&gt;80000,"high")</f>
        <v>high</v>
      </c>
      <c r="T7" s="15" t="str">
        <f t="shared" si="1"/>
        <v>No WFH</v>
      </c>
      <c r="U7" s="15" t="str">
        <f t="shared" si="2"/>
        <v>work from home</v>
      </c>
      <c r="V7" s="19" cm="1">
        <f t="array" ref="V7" xml:space="preserve"> _xlfn.IFS(N7="Very Good",15%,N7="Good",12%,N7="average",10%,TRUE,0)</f>
        <v>0.12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v xml:space="preserve"> Go</v>
      </c>
      <c r="R8" s="18">
        <f t="shared" si="0"/>
        <v>0</v>
      </c>
      <c r="S8" s="15" t="str" cm="1">
        <f t="array" ref="S8">_xlfn.IFS(P8&lt;=40000,"Low",AND(P8&gt;41000,P8&lt;=80000),"mid",P8&gt;80000,"high")</f>
        <v>Low</v>
      </c>
      <c r="T8" s="15" t="str">
        <f t="shared" si="1"/>
        <v>No WFH</v>
      </c>
      <c r="U8" s="15" t="str">
        <f t="shared" si="2"/>
        <v>NoWFH</v>
      </c>
      <c r="V8" s="19" cm="1">
        <f t="array" ref="V8" xml:space="preserve"> _xlfn.IFS(N8="Very Good",15%,N8="Good",12%,N8="average",10%,TRUE,0)</f>
        <v>0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v xml:space="preserve"> Go</v>
      </c>
      <c r="R9" s="18">
        <f t="shared" si="0"/>
        <v>0</v>
      </c>
      <c r="S9" s="15" t="str" cm="1">
        <f t="array" ref="S9">_xlfn.IFS(P9&lt;=40000,"Low",AND(P9&gt;41000,P9&lt;=80000),"mid",P9&gt;80000,"high")</f>
        <v>high</v>
      </c>
      <c r="T9" s="15" t="str">
        <f t="shared" si="1"/>
        <v>No WFH</v>
      </c>
      <c r="U9" s="15" t="str">
        <f t="shared" si="2"/>
        <v>work from home</v>
      </c>
      <c r="V9" s="19" cm="1">
        <f t="array" ref="V9" xml:space="preserve"> _xlfn.IFS(N9="Very Good",15%,N9="Good",12%,N9="average",10%,TRUE,0)</f>
        <v>0.1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v>Terminated</v>
      </c>
      <c r="R10" s="18">
        <f t="shared" si="0"/>
        <v>0</v>
      </c>
      <c r="S10" s="15" t="str" cm="1">
        <f t="array" ref="S10">_xlfn.IFS(P10&lt;=40000,"Low",AND(P10&gt;41000,P10&lt;=80000),"mid",P10&gt;80000,"high")</f>
        <v>high</v>
      </c>
      <c r="T10" s="15" t="str">
        <f t="shared" si="1"/>
        <v>No WFH</v>
      </c>
      <c r="U10" s="15" t="str">
        <f>IF(OR(L10="finance",L10="Hr"),"work from home","NoWFH")</f>
        <v>NoWFH</v>
      </c>
      <c r="V10" s="19" cm="1">
        <f t="array" ref="V10" xml:space="preserve"> _xlfn.IFS(N10="Very Good",15%,N10="Good",12%,N10="average",10%,TRUE,0)</f>
        <v>0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v xml:space="preserve"> Go</v>
      </c>
      <c r="R11" s="18">
        <f t="shared" si="0"/>
        <v>0</v>
      </c>
      <c r="S11" s="15" t="str" cm="1">
        <f t="array" ref="S11">_xlfn.IFS(P11&lt;=40000,"Low",AND(P11&gt;41000,P11&lt;=80000),"mid",P11&gt;80000,"high")</f>
        <v>high</v>
      </c>
      <c r="T11" s="15" t="str">
        <f t="shared" si="1"/>
        <v>No WFH</v>
      </c>
      <c r="U11" s="15" t="str">
        <f t="shared" si="2"/>
        <v>NoWFH</v>
      </c>
      <c r="V11" s="19" cm="1">
        <f t="array" ref="V11" xml:space="preserve"> _xlfn.IFS(N11="Very Good",15%,N11="Good",12%,N11="average",10%,TRUE,0)</f>
        <v>0.12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v xml:space="preserve"> Go</v>
      </c>
      <c r="R12" s="18">
        <f t="shared" si="0"/>
        <v>0</v>
      </c>
      <c r="S12" s="15" t="str" cm="1">
        <f t="array" ref="S12">_xlfn.IFS(P12&lt;=40000,"Low",AND(P12&gt;41000,P12&lt;=80000),"mid",P12&gt;80000,"high")</f>
        <v>mid</v>
      </c>
      <c r="T12" s="15" t="str">
        <f t="shared" si="1"/>
        <v>No WFH</v>
      </c>
      <c r="U12" s="15" t="str">
        <f t="shared" si="2"/>
        <v>NoWFH</v>
      </c>
      <c r="V12" s="19" cm="1">
        <f t="array" ref="V12" xml:space="preserve"> _xlfn.IFS(N12="Very Good",15%,N12="Good",12%,N12="average",10%,TRUE,0)</f>
        <v>0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v>Terminated</v>
      </c>
      <c r="R13" s="18">
        <f t="shared" si="0"/>
        <v>0</v>
      </c>
      <c r="S13" s="15" t="str" cm="1">
        <f t="array" ref="S13">_xlfn.IFS(P13&lt;=40000,"Low",AND(P13&gt;41000,P13&lt;=80000),"mid",P13&gt;80000,"high")</f>
        <v>high</v>
      </c>
      <c r="T13" s="15" t="str">
        <f t="shared" si="1"/>
        <v>work from home</v>
      </c>
      <c r="U13" s="15" t="str">
        <f t="shared" si="2"/>
        <v>work from home</v>
      </c>
      <c r="V13" s="19" cm="1">
        <f t="array" ref="V13" xml:space="preserve"> _xlfn.IFS(N13="Very Good",15%,N13="Good",12%,N13="average",10%,TRUE,0)</f>
        <v>0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v xml:space="preserve"> Go</v>
      </c>
      <c r="R14" s="18">
        <f t="shared" si="0"/>
        <v>0</v>
      </c>
      <c r="S14" s="15" t="str" cm="1">
        <f t="array" ref="S14">_xlfn.IFS(P14&lt;=40000,"Low",AND(P14&gt;41000,P14&lt;=80000),"mid",P14&gt;80000,"high")</f>
        <v>high</v>
      </c>
      <c r="T14" s="15" t="str">
        <f t="shared" si="1"/>
        <v>No WFH</v>
      </c>
      <c r="U14" s="15" t="str">
        <f t="shared" si="2"/>
        <v>NoWFH</v>
      </c>
      <c r="V14" s="19" cm="1">
        <f t="array" ref="V14" xml:space="preserve"> _xlfn.IFS(N14="Very Good",15%,N14="Good",12%,N14="average",10%,TRUE,0)</f>
        <v>0.1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v>Terminated</v>
      </c>
      <c r="R15" s="18">
        <f t="shared" si="0"/>
        <v>0</v>
      </c>
      <c r="S15" s="15" t="str" cm="1">
        <f t="array" ref="S15">_xlfn.IFS(P15&lt;=40000,"Low",AND(P15&gt;41000,P15&lt;=80000),"mid",P15&gt;80000,"high")</f>
        <v>high</v>
      </c>
      <c r="T15" s="15" t="str">
        <f t="shared" si="1"/>
        <v>No WFH</v>
      </c>
      <c r="U15" s="15" t="str">
        <f t="shared" si="2"/>
        <v>NoWFH</v>
      </c>
      <c r="V15" s="19" cm="1">
        <f t="array" ref="V15" xml:space="preserve"> _xlfn.IFS(N15="Very Good",15%,N15="Good",12%,N15="average",10%,TRUE,0)</f>
        <v>0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v>Terminated</v>
      </c>
      <c r="R16" s="18">
        <f t="shared" si="0"/>
        <v>0</v>
      </c>
      <c r="S16" s="15" t="str" cm="1">
        <f t="array" ref="S16">_xlfn.IFS(P16&lt;=40000,"Low",AND(P16&gt;41000,P16&lt;=80000),"mid",P16&gt;80000,"high")</f>
        <v>high</v>
      </c>
      <c r="T16" s="15" t="str">
        <f t="shared" si="1"/>
        <v>No WFH</v>
      </c>
      <c r="U16" s="15" t="str">
        <f t="shared" si="2"/>
        <v>NoWFH</v>
      </c>
      <c r="V16" s="19" cm="1">
        <f t="array" ref="V16" xml:space="preserve"> _xlfn.IFS(N16="Very Good",15%,N16="Good",12%,N16="average",10%,TRUE,0)</f>
        <v>0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v>Terminated</v>
      </c>
      <c r="R17" s="18">
        <f t="shared" si="0"/>
        <v>0</v>
      </c>
      <c r="S17" s="15" t="str" cm="1">
        <f t="array" ref="S17">_xlfn.IFS(P17&lt;=40000,"Low",AND(P17&gt;41000,P17&lt;=80000),"mid",P17&gt;80000,"high")</f>
        <v>high</v>
      </c>
      <c r="T17" s="15" t="str">
        <f t="shared" si="1"/>
        <v>No WFH</v>
      </c>
      <c r="U17" s="15" t="str">
        <f t="shared" si="2"/>
        <v>NoWFH</v>
      </c>
      <c r="V17" s="19" cm="1">
        <f t="array" ref="V17" xml:space="preserve"> _xlfn.IFS(N17="Very Good",15%,N17="Good",12%,N17="average",10%,TRUE,0)</f>
        <v>0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v xml:space="preserve"> Go</v>
      </c>
      <c r="R18" s="18">
        <f t="shared" si="0"/>
        <v>0</v>
      </c>
      <c r="S18" s="15" t="str" cm="1">
        <f t="array" ref="S18">_xlfn.IFS(P18&lt;=40000,"Low",AND(P18&gt;41000,P18&lt;=80000),"mid",P18&gt;80000,"high")</f>
        <v>high</v>
      </c>
      <c r="T18" s="15" t="str">
        <f t="shared" si="1"/>
        <v>No WFH</v>
      </c>
      <c r="U18" s="15" t="str">
        <f t="shared" si="2"/>
        <v>NoWFH</v>
      </c>
      <c r="V18" s="19" cm="1">
        <f t="array" ref="V18" xml:space="preserve"> _xlfn.IFS(N18="Very Good",15%,N18="Good",12%,N18="average",10%,TRUE,0)</f>
        <v>0.12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v xml:space="preserve"> Go</v>
      </c>
      <c r="R19" s="18">
        <f t="shared" si="0"/>
        <v>5782.0995000000003</v>
      </c>
      <c r="S19" s="15" t="str" cm="1">
        <f t="array" ref="S19">_xlfn.IFS(P19&lt;=40000,"Low",AND(P19&gt;41000,P19&lt;=80000),"mid",P19&gt;80000,"high")</f>
        <v>high</v>
      </c>
      <c r="T19" s="15" t="str">
        <f t="shared" si="1"/>
        <v>No WFH</v>
      </c>
      <c r="U19" s="15" t="str">
        <f t="shared" si="2"/>
        <v>work from home</v>
      </c>
      <c r="V19" s="19" cm="1">
        <f t="array" ref="V19" xml:space="preserve"> _xlfn.IFS(N19="Very Good",15%,N19="Good",12%,N19="average",10%,TRUE,0)</f>
        <v>0.15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v>Terminated</v>
      </c>
      <c r="R20" s="18">
        <f t="shared" si="0"/>
        <v>0</v>
      </c>
      <c r="S20" s="15" t="str" cm="1">
        <f t="array" ref="S20">_xlfn.IFS(P20&lt;=40000,"Low",AND(P20&gt;41000,P20&lt;=80000),"mid",P20&gt;80000,"high")</f>
        <v>Low</v>
      </c>
      <c r="T20" s="15" t="str">
        <f t="shared" si="1"/>
        <v>No WFH</v>
      </c>
      <c r="U20" s="15" t="str">
        <f t="shared" si="2"/>
        <v>NoWFH</v>
      </c>
      <c r="V20" s="19" cm="1">
        <f t="array" ref="V20" xml:space="preserve"> _xlfn.IFS(N20="Very Good",15%,N20="Good",12%,N20="average",10%,TRUE,0)</f>
        <v>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v xml:space="preserve"> Go</v>
      </c>
      <c r="R21" s="18">
        <f t="shared" si="0"/>
        <v>0</v>
      </c>
      <c r="S21" s="15" t="str" cm="1">
        <f t="array" ref="S21">_xlfn.IFS(P21&lt;=40000,"Low",AND(P21&gt;41000,P21&lt;=80000),"mid",P21&gt;80000,"high")</f>
        <v>high</v>
      </c>
      <c r="T21" s="15" t="str">
        <f t="shared" si="1"/>
        <v>No WFH</v>
      </c>
      <c r="U21" s="15" t="str">
        <f t="shared" si="2"/>
        <v>work from home</v>
      </c>
      <c r="V21" s="19" cm="1">
        <f t="array" ref="V21" xml:space="preserve"> _xlfn.IFS(N21="Very Good",15%,N21="Good",12%,N21="average",10%,TRUE,0)</f>
        <v>0.12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v xml:space="preserve"> Go</v>
      </c>
      <c r="R22" s="18">
        <f t="shared" si="0"/>
        <v>0</v>
      </c>
      <c r="S22" s="15" t="str" cm="1">
        <f t="array" ref="S22">_xlfn.IFS(P22&lt;=40000,"Low",AND(P22&gt;41000,P22&lt;=80000),"mid",P22&gt;80000,"high")</f>
        <v>high</v>
      </c>
      <c r="T22" s="15" t="str">
        <f t="shared" si="1"/>
        <v>No WFH</v>
      </c>
      <c r="U22" s="15" t="str">
        <f t="shared" si="2"/>
        <v>NoWFH</v>
      </c>
      <c r="V22" s="19" cm="1">
        <f t="array" ref="V22" xml:space="preserve"> _xlfn.IFS(N22="Very Good",15%,N22="Good",12%,N22="average",10%,TRUE,0)</f>
        <v>0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v xml:space="preserve"> Go</v>
      </c>
      <c r="R23" s="18">
        <f t="shared" si="0"/>
        <v>0</v>
      </c>
      <c r="S23" s="15" t="str" cm="1">
        <f t="array" ref="S23">_xlfn.IFS(P23&lt;=40000,"Low",AND(P23&gt;41000,P23&lt;=80000),"mid",P23&gt;80000,"high")</f>
        <v>high</v>
      </c>
      <c r="T23" s="15" t="str">
        <f t="shared" si="1"/>
        <v>No WFH</v>
      </c>
      <c r="U23" s="15" t="str">
        <f t="shared" si="2"/>
        <v>NoWFH</v>
      </c>
      <c r="V23" s="19" cm="1">
        <f t="array" ref="V23" xml:space="preserve"> _xlfn.IFS(N23="Very Good",15%,N23="Good",12%,N23="average",10%,TRUE,0)</f>
        <v>0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v>Terminated</v>
      </c>
      <c r="R24" s="18">
        <f t="shared" si="0"/>
        <v>0</v>
      </c>
      <c r="S24" s="15" t="str" cm="1">
        <f t="array" ref="S24">_xlfn.IFS(P24&lt;=40000,"Low",AND(P24&gt;41000,P24&lt;=80000),"mid",P24&gt;80000,"high")</f>
        <v>high</v>
      </c>
      <c r="T24" s="15" t="str">
        <f t="shared" si="1"/>
        <v>No WFH</v>
      </c>
      <c r="U24" s="15" t="str">
        <f t="shared" si="2"/>
        <v>NoWFH</v>
      </c>
      <c r="V24" s="19" cm="1">
        <f t="array" ref="V24" xml:space="preserve"> _xlfn.IFS(N24="Very Good",15%,N24="Good",12%,N24="average",10%,TRUE,0)</f>
        <v>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v xml:space="preserve"> Go</v>
      </c>
      <c r="R25" s="18">
        <f t="shared" si="0"/>
        <v>0</v>
      </c>
      <c r="S25" s="15" t="str" cm="1">
        <f t="array" ref="S25">_xlfn.IFS(P25&lt;=40000,"Low",AND(P25&gt;41000,P25&lt;=80000),"mid",P25&gt;80000,"high")</f>
        <v>Low</v>
      </c>
      <c r="T25" s="15" t="str">
        <f t="shared" si="1"/>
        <v>No WFH</v>
      </c>
      <c r="U25" s="15" t="str">
        <f t="shared" si="2"/>
        <v>NoWFH</v>
      </c>
      <c r="V25" s="19" cm="1">
        <f t="array" ref="V25" xml:space="preserve"> _xlfn.IFS(N25="Very Good",15%,N25="Good",12%,N25="average",10%,TRUE,0)</f>
        <v>0.12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v xml:space="preserve"> Go</v>
      </c>
      <c r="R26" s="18">
        <f t="shared" si="0"/>
        <v>0</v>
      </c>
      <c r="S26" s="15" t="str" cm="1">
        <f t="array" ref="S26">_xlfn.IFS(P26&lt;=40000,"Low",AND(P26&gt;41000,P26&lt;=80000),"mid",P26&gt;80000,"high")</f>
        <v>Low</v>
      </c>
      <c r="T26" s="15" t="str">
        <f t="shared" si="1"/>
        <v>No WFH</v>
      </c>
      <c r="U26" s="15" t="str">
        <f t="shared" si="2"/>
        <v>NoWFH</v>
      </c>
      <c r="V26" s="19" cm="1">
        <f t="array" ref="V26" xml:space="preserve"> _xlfn.IFS(N26="Very Good",15%,N26="Good",12%,N26="average",10%,TRUE,0)</f>
        <v>0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v xml:space="preserve"> Go</v>
      </c>
      <c r="R27" s="18">
        <f t="shared" si="0"/>
        <v>0</v>
      </c>
      <c r="S27" s="15" t="str" cm="1">
        <f t="array" ref="S27">_xlfn.IFS(P27&lt;=40000,"Low",AND(P27&gt;41000,P27&lt;=80000),"mid",P27&gt;80000,"high")</f>
        <v>Low</v>
      </c>
      <c r="T27" s="15" t="str">
        <f t="shared" si="1"/>
        <v>No WFH</v>
      </c>
      <c r="U27" s="15" t="str">
        <f t="shared" si="2"/>
        <v>NoWFH</v>
      </c>
      <c r="V27" s="19" cm="1">
        <f t="array" ref="V27" xml:space="preserve"> _xlfn.IFS(N27="Very Good",15%,N27="Good",12%,N27="average",10%,TRUE,0)</f>
        <v>0.12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v xml:space="preserve"> Go</v>
      </c>
      <c r="R28" s="18">
        <f t="shared" si="0"/>
        <v>0</v>
      </c>
      <c r="S28" s="15" t="str" cm="1">
        <f t="array" ref="S28">_xlfn.IFS(P28&lt;=40000,"Low",AND(P28&gt;41000,P28&lt;=80000),"mid",P28&gt;80000,"high")</f>
        <v>Low</v>
      </c>
      <c r="T28" s="15" t="str">
        <f t="shared" si="1"/>
        <v>No WFH</v>
      </c>
      <c r="U28" s="15" t="str">
        <f t="shared" si="2"/>
        <v>NoWFH</v>
      </c>
      <c r="V28" s="19" cm="1">
        <f t="array" ref="V28" xml:space="preserve"> _xlfn.IFS(N28="Very Good",15%,N28="Good",12%,N28="average",10%,TRUE,0)</f>
        <v>0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v xml:space="preserve"> Go</v>
      </c>
      <c r="R29" s="18">
        <f t="shared" si="0"/>
        <v>0</v>
      </c>
      <c r="S29" s="15" t="str" cm="1">
        <f t="array" ref="S29">_xlfn.IFS(P29&lt;=40000,"Low",AND(P29&gt;41000,P29&lt;=80000),"mid",P29&gt;80000,"high")</f>
        <v>mid</v>
      </c>
      <c r="T29" s="15" t="str">
        <f t="shared" si="1"/>
        <v>No WFH</v>
      </c>
      <c r="U29" s="15" t="str">
        <f t="shared" si="2"/>
        <v>NoWFH</v>
      </c>
      <c r="V29" s="19" cm="1">
        <f t="array" ref="V29" xml:space="preserve"> _xlfn.IFS(N29="Very Good",15%,N29="Good",12%,N29="average",10%,TRUE,0)</f>
        <v>0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v xml:space="preserve"> Go</v>
      </c>
      <c r="R30" s="18">
        <f t="shared" si="0"/>
        <v>0</v>
      </c>
      <c r="S30" s="15" t="str" cm="1">
        <f t="array" ref="S30">_xlfn.IFS(P30&lt;=40000,"Low",AND(P30&gt;41000,P30&lt;=80000),"mid",P30&gt;80000,"high")</f>
        <v>high</v>
      </c>
      <c r="T30" s="15" t="str">
        <f t="shared" si="1"/>
        <v>No WFH</v>
      </c>
      <c r="U30" s="15" t="str">
        <f t="shared" si="2"/>
        <v>work from home</v>
      </c>
      <c r="V30" s="19" cm="1">
        <f t="array" ref="V30" xml:space="preserve"> _xlfn.IFS(N30="Very Good",15%,N30="Good",12%,N30="average",10%,TRUE,0)</f>
        <v>0.1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v xml:space="preserve"> Go</v>
      </c>
      <c r="R31" s="18">
        <f t="shared" si="0"/>
        <v>0</v>
      </c>
      <c r="S31" s="15" t="str" cm="1">
        <f t="array" ref="S31">_xlfn.IFS(P31&lt;=40000,"Low",AND(P31&gt;41000,P31&lt;=80000),"mid",P31&gt;80000,"high")</f>
        <v>mid</v>
      </c>
      <c r="T31" s="15" t="str">
        <f t="shared" si="1"/>
        <v>work from home</v>
      </c>
      <c r="U31" s="15" t="str">
        <f t="shared" si="2"/>
        <v>work from home</v>
      </c>
      <c r="V31" s="19" cm="1">
        <f t="array" ref="V31" xml:space="preserve"> _xlfn.IFS(N31="Very Good",15%,N31="Good",12%,N31="average",10%,TRUE,0)</f>
        <v>0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v xml:space="preserve"> Go</v>
      </c>
      <c r="R32" s="18">
        <f t="shared" si="0"/>
        <v>0</v>
      </c>
      <c r="S32" s="15" t="str" cm="1">
        <f t="array" ref="S32">_xlfn.IFS(P32&lt;=40000,"Low",AND(P32&gt;41000,P32&lt;=80000),"mid",P32&gt;80000,"high")</f>
        <v>high</v>
      </c>
      <c r="T32" s="15" t="str">
        <f t="shared" si="1"/>
        <v>No WFH</v>
      </c>
      <c r="U32" s="15" t="str">
        <f t="shared" si="2"/>
        <v>NoWFH</v>
      </c>
      <c r="V32" s="19" cm="1">
        <f t="array" ref="V32" xml:space="preserve"> _xlfn.IFS(N32="Very Good",15%,N32="Good",12%,N32="average",10%,TRUE,0)</f>
        <v>0.1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v xml:space="preserve"> Go</v>
      </c>
      <c r="R33" s="18">
        <f t="shared" si="0"/>
        <v>1895.9760000000003</v>
      </c>
      <c r="S33" s="15" t="str" cm="1">
        <f t="array" ref="S33">_xlfn.IFS(P33&lt;=40000,"Low",AND(P33&gt;41000,P33&lt;=80000),"mid",P33&gt;80000,"high")</f>
        <v>Low</v>
      </c>
      <c r="T33" s="15" t="str">
        <f t="shared" si="1"/>
        <v>No WFH</v>
      </c>
      <c r="U33" s="15" t="str">
        <f t="shared" si="2"/>
        <v>work from home</v>
      </c>
      <c r="V33" s="19" cm="1">
        <f t="array" ref="V33" xml:space="preserve"> _xlfn.IFS(N33="Very Good",15%,N33="Good",12%,N33="average",10%,TRUE,0)</f>
        <v>0.15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v>Terminated</v>
      </c>
      <c r="R34" s="18">
        <f t="shared" si="0"/>
        <v>0</v>
      </c>
      <c r="S34" s="15" t="str" cm="1">
        <f t="array" ref="S34">_xlfn.IFS(P34&lt;=40000,"Low",AND(P34&gt;41000,P34&lt;=80000),"mid",P34&gt;80000,"high")</f>
        <v>high</v>
      </c>
      <c r="T34" s="15" t="str">
        <f t="shared" si="1"/>
        <v>No WFH</v>
      </c>
      <c r="U34" s="15" t="str">
        <f t="shared" si="2"/>
        <v>NoWFH</v>
      </c>
      <c r="V34" s="19" cm="1">
        <f t="array" ref="V34" xml:space="preserve"> _xlfn.IFS(N34="Very Good",15%,N34="Good",12%,N34="average",10%,TRUE,0)</f>
        <v>0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v xml:space="preserve"> Go</v>
      </c>
      <c r="R35" s="18">
        <f t="shared" si="0"/>
        <v>0</v>
      </c>
      <c r="S35" s="15" t="str" cm="1">
        <f t="array" ref="S35">_xlfn.IFS(P35&lt;=40000,"Low",AND(P35&gt;41000,P35&lt;=80000),"mid",P35&gt;80000,"high")</f>
        <v>mid</v>
      </c>
      <c r="T35" s="15" t="str">
        <f t="shared" si="1"/>
        <v>No WFH</v>
      </c>
      <c r="U35" s="15" t="str">
        <f t="shared" si="2"/>
        <v>NoWFH</v>
      </c>
      <c r="V35" s="19" cm="1">
        <f t="array" ref="V35" xml:space="preserve"> _xlfn.IFS(N35="Very Good",15%,N35="Good",12%,N35="average",10%,TRUE,0)</f>
        <v>0.12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v xml:space="preserve"> Go</v>
      </c>
      <c r="R36" s="18">
        <f t="shared" si="0"/>
        <v>0</v>
      </c>
      <c r="S36" s="15" t="str" cm="1">
        <f t="array" ref="S36">_xlfn.IFS(P36&lt;=40000,"Low",AND(P36&gt;41000,P36&lt;=80000),"mid",P36&gt;80000,"high")</f>
        <v>high</v>
      </c>
      <c r="T36" s="15" t="str">
        <f t="shared" si="1"/>
        <v>No WFH</v>
      </c>
      <c r="U36" s="15" t="str">
        <f t="shared" si="2"/>
        <v>NoWFH</v>
      </c>
      <c r="V36" s="19" cm="1">
        <f t="array" ref="V36" xml:space="preserve"> _xlfn.IFS(N36="Very Good",15%,N36="Good",12%,N36="average",10%,TRUE,0)</f>
        <v>0.12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v xml:space="preserve"> Go</v>
      </c>
      <c r="R37" s="18">
        <f t="shared" si="0"/>
        <v>0</v>
      </c>
      <c r="S37" s="15" t="str" cm="1">
        <f t="array" ref="S37">_xlfn.IFS(P37&lt;=40000,"Low",AND(P37&gt;41000,P37&lt;=80000),"mid",P37&gt;80000,"high")</f>
        <v>high</v>
      </c>
      <c r="T37" s="15" t="str">
        <f t="shared" si="1"/>
        <v>No WFH</v>
      </c>
      <c r="U37" s="15" t="str">
        <f t="shared" si="2"/>
        <v>work from home</v>
      </c>
      <c r="V37" s="19" cm="1">
        <f t="array" ref="V37" xml:space="preserve"> _xlfn.IFS(N37="Very Good",15%,N37="Good",12%,N37="average",10%,TRUE,0)</f>
        <v>0.1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v xml:space="preserve"> Go</v>
      </c>
      <c r="R38" s="18">
        <f t="shared" si="0"/>
        <v>7172.4105000000018</v>
      </c>
      <c r="S38" s="15" t="str" cm="1">
        <f t="array" ref="S38">_xlfn.IFS(P38&lt;=40000,"Low",AND(P38&gt;41000,P38&lt;=80000),"mid",P38&gt;80000,"high")</f>
        <v>high</v>
      </c>
      <c r="T38" s="15" t="str">
        <f t="shared" si="1"/>
        <v>No WFH</v>
      </c>
      <c r="U38" s="15" t="str">
        <f t="shared" si="2"/>
        <v>NoWFH</v>
      </c>
      <c r="V38" s="19" cm="1">
        <f t="array" ref="V38" xml:space="preserve"> _xlfn.IFS(N38="Very Good",15%,N38="Good",12%,N38="average",10%,TRUE,0)</f>
        <v>0.15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v xml:space="preserve"> Go</v>
      </c>
      <c r="R39" s="18">
        <f t="shared" si="0"/>
        <v>0</v>
      </c>
      <c r="S39" s="15" t="str" cm="1">
        <f t="array" ref="S39">_xlfn.IFS(P39&lt;=40000,"Low",AND(P39&gt;41000,P39&lt;=80000),"mid",P39&gt;80000,"high")</f>
        <v>Low</v>
      </c>
      <c r="T39" s="15" t="str">
        <f t="shared" si="1"/>
        <v>No WFH</v>
      </c>
      <c r="U39" s="15" t="str">
        <f t="shared" si="2"/>
        <v>work from home</v>
      </c>
      <c r="V39" s="19" cm="1">
        <f t="array" ref="V39" xml:space="preserve"> _xlfn.IFS(N39="Very Good",15%,N39="Good",12%,N39="average",10%,TRUE,0)</f>
        <v>0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v xml:space="preserve"> Go</v>
      </c>
      <c r="R40" s="18">
        <f t="shared" si="0"/>
        <v>0</v>
      </c>
      <c r="S40" s="15" t="str" cm="1">
        <f t="array" ref="S40">_xlfn.IFS(P40&lt;=40000,"Low",AND(P40&gt;41000,P40&lt;=80000),"mid",P40&gt;80000,"high")</f>
        <v>high</v>
      </c>
      <c r="T40" s="15" t="str">
        <f t="shared" si="1"/>
        <v>No WFH</v>
      </c>
      <c r="U40" s="15" t="str">
        <f t="shared" si="2"/>
        <v>work from home</v>
      </c>
      <c r="V40" s="19" cm="1">
        <f t="array" ref="V40" xml:space="preserve"> _xlfn.IFS(N40="Very Good",15%,N40="Good",12%,N40="average",10%,TRUE,0)</f>
        <v>0.12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v>Terminated</v>
      </c>
      <c r="R41" s="18">
        <f t="shared" si="0"/>
        <v>0</v>
      </c>
      <c r="S41" s="15" t="str" cm="1">
        <f t="array" ref="S41">_xlfn.IFS(P41&lt;=40000,"Low",AND(P41&gt;41000,P41&lt;=80000),"mid",P41&gt;80000,"high")</f>
        <v>Low</v>
      </c>
      <c r="T41" s="15" t="str">
        <f t="shared" si="1"/>
        <v>No WFH</v>
      </c>
      <c r="U41" s="15" t="str">
        <f t="shared" si="2"/>
        <v>NoWFH</v>
      </c>
      <c r="V41" s="19" cm="1">
        <f t="array" ref="V41" xml:space="preserve"> _xlfn.IFS(N41="Very Good",15%,N41="Good",12%,N41="average",10%,TRUE,0)</f>
        <v>0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v xml:space="preserve"> Go</v>
      </c>
      <c r="R42" s="18">
        <f t="shared" si="0"/>
        <v>0</v>
      </c>
      <c r="S42" s="15" t="str" cm="1">
        <f t="array" ref="S42">_xlfn.IFS(P42&lt;=40000,"Low",AND(P42&gt;41000,P42&lt;=80000),"mid",P42&gt;80000,"high")</f>
        <v>mid</v>
      </c>
      <c r="T42" s="15" t="str">
        <f t="shared" si="1"/>
        <v>No WFH</v>
      </c>
      <c r="U42" s="15" t="str">
        <f t="shared" si="2"/>
        <v>work from home</v>
      </c>
      <c r="V42" s="19" cm="1">
        <f t="array" ref="V42" xml:space="preserve"> _xlfn.IFS(N42="Very Good",15%,N42="Good",12%,N42="average",10%,TRUE,0)</f>
        <v>0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v xml:space="preserve"> Go</v>
      </c>
      <c r="R43" s="18">
        <f t="shared" si="0"/>
        <v>0</v>
      </c>
      <c r="S43" s="15" t="str" cm="1">
        <f t="array" ref="S43">_xlfn.IFS(P43&lt;=40000,"Low",AND(P43&gt;41000,P43&lt;=80000),"mid",P43&gt;80000,"high")</f>
        <v>high</v>
      </c>
      <c r="T43" s="15" t="str">
        <f t="shared" si="1"/>
        <v>No WFH</v>
      </c>
      <c r="U43" s="15" t="str">
        <f t="shared" si="2"/>
        <v>work from home</v>
      </c>
      <c r="V43" s="19" cm="1">
        <f t="array" ref="V43" xml:space="preserve"> _xlfn.IFS(N43="Very Good",15%,N43="Good",12%,N43="average",10%,TRUE,0)</f>
        <v>0.12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v xml:space="preserve"> Go</v>
      </c>
      <c r="R44" s="18">
        <f t="shared" si="0"/>
        <v>0</v>
      </c>
      <c r="S44" s="15" t="str" cm="1">
        <f t="array" ref="S44">_xlfn.IFS(P44&lt;=40000,"Low",AND(P44&gt;41000,P44&lt;=80000),"mid",P44&gt;80000,"high")</f>
        <v>Low</v>
      </c>
      <c r="T44" s="15" t="str">
        <f t="shared" si="1"/>
        <v>No WFH</v>
      </c>
      <c r="U44" s="15" t="str">
        <f t="shared" si="2"/>
        <v>NoWFH</v>
      </c>
      <c r="V44" s="19" cm="1">
        <f t="array" ref="V44" xml:space="preserve"> _xlfn.IFS(N44="Very Good",15%,N44="Good",12%,N44="average",10%,TRUE,0)</f>
        <v>0.12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v>Terminated</v>
      </c>
      <c r="R45" s="18">
        <f t="shared" si="0"/>
        <v>0</v>
      </c>
      <c r="S45" s="15" t="str" cm="1">
        <f t="array" ref="S45">_xlfn.IFS(P45&lt;=40000,"Low",AND(P45&gt;41000,P45&lt;=80000),"mid",P45&gt;80000,"high")</f>
        <v>high</v>
      </c>
      <c r="T45" s="15" t="str">
        <f t="shared" si="1"/>
        <v>No WFH</v>
      </c>
      <c r="U45" s="15" t="str">
        <f t="shared" si="2"/>
        <v>NoWFH</v>
      </c>
      <c r="V45" s="19" cm="1">
        <f t="array" ref="V45" xml:space="preserve"> _xlfn.IFS(N45="Very Good",15%,N45="Good",12%,N45="average",10%,TRUE,0)</f>
        <v>0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v xml:space="preserve"> Go</v>
      </c>
      <c r="R46" s="18">
        <f t="shared" si="0"/>
        <v>0</v>
      </c>
      <c r="S46" s="15" t="str" cm="1">
        <f t="array" ref="S46">_xlfn.IFS(P46&lt;=40000,"Low",AND(P46&gt;41000,P46&lt;=80000),"mid",P46&gt;80000,"high")</f>
        <v>mid</v>
      </c>
      <c r="T46" s="15" t="str">
        <f t="shared" si="1"/>
        <v>No WFH</v>
      </c>
      <c r="U46" s="15" t="str">
        <f t="shared" si="2"/>
        <v>work from home</v>
      </c>
      <c r="V46" s="19" cm="1">
        <f t="array" ref="V46" xml:space="preserve"> _xlfn.IFS(N46="Very Good",15%,N46="Good",12%,N46="average",10%,TRUE,0)</f>
        <v>0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v xml:space="preserve"> Go</v>
      </c>
      <c r="R47" s="18">
        <f t="shared" si="0"/>
        <v>0</v>
      </c>
      <c r="S47" s="15" t="str" cm="1">
        <f t="array" ref="S47">_xlfn.IFS(P47&lt;=40000,"Low",AND(P47&gt;41000,P47&lt;=80000),"mid",P47&gt;80000,"high")</f>
        <v>high</v>
      </c>
      <c r="T47" s="15" t="str">
        <f t="shared" si="1"/>
        <v>No WFH</v>
      </c>
      <c r="U47" s="15" t="str">
        <f t="shared" si="2"/>
        <v>NoWFH</v>
      </c>
      <c r="V47" s="19" cm="1">
        <f t="array" ref="V47" xml:space="preserve"> _xlfn.IFS(N47="Very Good",15%,N47="Good",12%,N47="average",10%,TRUE,0)</f>
        <v>0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v xml:space="preserve"> Go</v>
      </c>
      <c r="R48" s="18">
        <f t="shared" si="0"/>
        <v>4443.8085000000001</v>
      </c>
      <c r="S48" s="15" t="str" cm="1">
        <f t="array" ref="S48">_xlfn.IFS(P48&lt;=40000,"Low",AND(P48&gt;41000,P48&lt;=80000),"mid",P48&gt;80000,"high")</f>
        <v>high</v>
      </c>
      <c r="T48" s="15" t="str">
        <f t="shared" si="1"/>
        <v>No WFH</v>
      </c>
      <c r="U48" s="15" t="str">
        <f t="shared" si="2"/>
        <v>NoWFH</v>
      </c>
      <c r="V48" s="19" cm="1">
        <f t="array" ref="V48" xml:space="preserve"> _xlfn.IFS(N48="Very Good",15%,N48="Good",12%,N48="average",10%,TRUE,0)</f>
        <v>0.15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v xml:space="preserve"> Go</v>
      </c>
      <c r="R49" s="18">
        <f t="shared" si="0"/>
        <v>0</v>
      </c>
      <c r="S49" s="15" t="str" cm="1">
        <f t="array" ref="S49">_xlfn.IFS(P49&lt;=40000,"Low",AND(P49&gt;41000,P49&lt;=80000),"mid",P49&gt;80000,"high")</f>
        <v>high</v>
      </c>
      <c r="T49" s="15" t="str">
        <f t="shared" si="1"/>
        <v>No WFH</v>
      </c>
      <c r="U49" s="15" t="str">
        <f t="shared" si="2"/>
        <v>work from home</v>
      </c>
      <c r="V49" s="19" cm="1">
        <f t="array" ref="V49" xml:space="preserve"> _xlfn.IFS(N49="Very Good",15%,N49="Good",12%,N49="average",10%,TRUE,0)</f>
        <v>0.12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v xml:space="preserve"> Go</v>
      </c>
      <c r="R50" s="18">
        <f t="shared" si="0"/>
        <v>5920.0290000000014</v>
      </c>
      <c r="S50" s="15" t="str" cm="1">
        <f t="array" ref="S50">_xlfn.IFS(P50&lt;=40000,"Low",AND(P50&gt;41000,P50&lt;=80000),"mid",P50&gt;80000,"high")</f>
        <v>high</v>
      </c>
      <c r="T50" s="15" t="str">
        <f t="shared" si="1"/>
        <v>No WFH</v>
      </c>
      <c r="U50" s="15" t="str">
        <f t="shared" si="2"/>
        <v>work from home</v>
      </c>
      <c r="V50" s="19" cm="1">
        <f t="array" ref="V50" xml:space="preserve"> _xlfn.IFS(N50="Very Good",15%,N50="Good",12%,N50="average",10%,TRUE,0)</f>
        <v>0.15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v xml:space="preserve"> Go</v>
      </c>
      <c r="R51" s="18">
        <f t="shared" si="0"/>
        <v>0</v>
      </c>
      <c r="S51" s="15" t="str" cm="1">
        <f t="array" ref="S51">_xlfn.IFS(P51&lt;=40000,"Low",AND(P51&gt;41000,P51&lt;=80000),"mid",P51&gt;80000,"high")</f>
        <v>high</v>
      </c>
      <c r="T51" s="15" t="str">
        <f t="shared" si="1"/>
        <v>No WFH</v>
      </c>
      <c r="U51" s="15" t="str">
        <f t="shared" si="2"/>
        <v>NoWFH</v>
      </c>
      <c r="V51" s="19" cm="1">
        <f t="array" ref="V51" xml:space="preserve"> _xlfn.IFS(N51="Very Good",15%,N51="Good",12%,N51="average",10%,TRUE,0)</f>
        <v>0.12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v xml:space="preserve"> Go</v>
      </c>
      <c r="R52" s="18">
        <f t="shared" si="0"/>
        <v>0</v>
      </c>
      <c r="S52" s="15" t="str" cm="1">
        <f t="array" ref="S52">_xlfn.IFS(P52&lt;=40000,"Low",AND(P52&gt;41000,P52&lt;=80000),"mid",P52&gt;80000,"high")</f>
        <v>high</v>
      </c>
      <c r="T52" s="15" t="str">
        <f t="shared" si="1"/>
        <v>No WFH</v>
      </c>
      <c r="U52" s="15" t="str">
        <f t="shared" si="2"/>
        <v>NoWFH</v>
      </c>
      <c r="V52" s="19" cm="1">
        <f t="array" ref="V52" xml:space="preserve"> _xlfn.IFS(N52="Very Good",15%,N52="Good",12%,N52="average",10%,TRUE,0)</f>
        <v>0.12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v>Terminated</v>
      </c>
      <c r="R53" s="18">
        <f t="shared" si="0"/>
        <v>0</v>
      </c>
      <c r="S53" s="15" t="str" cm="1">
        <f t="array" ref="S53">_xlfn.IFS(P53&lt;=40000,"Low",AND(P53&gt;41000,P53&lt;=80000),"mid",P53&gt;80000,"high")</f>
        <v>Low</v>
      </c>
      <c r="T53" s="15" t="str">
        <f t="shared" si="1"/>
        <v>work from home</v>
      </c>
      <c r="U53" s="15" t="str">
        <f t="shared" si="2"/>
        <v>work from home</v>
      </c>
      <c r="V53" s="19" cm="1">
        <f t="array" ref="V53" xml:space="preserve"> _xlfn.IFS(N53="Very Good",15%,N53="Good",12%,N53="average",10%,TRUE,0)</f>
        <v>0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v xml:space="preserve"> Go</v>
      </c>
      <c r="R54" s="18">
        <f t="shared" si="0"/>
        <v>0</v>
      </c>
      <c r="S54" s="15" t="str" cm="1">
        <f t="array" ref="S54">_xlfn.IFS(P54&lt;=40000,"Low",AND(P54&gt;41000,P54&lt;=80000),"mid",P54&gt;80000,"high")</f>
        <v>high</v>
      </c>
      <c r="T54" s="15" t="str">
        <f t="shared" si="1"/>
        <v>No WFH</v>
      </c>
      <c r="U54" s="15" t="str">
        <f t="shared" si="2"/>
        <v>work from home</v>
      </c>
      <c r="V54" s="19" cm="1">
        <f t="array" ref="V54" xml:space="preserve"> _xlfn.IFS(N54="Very Good",15%,N54="Good",12%,N54="average",10%,TRUE,0)</f>
        <v>0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v xml:space="preserve"> Go</v>
      </c>
      <c r="R55" s="18">
        <f t="shared" si="0"/>
        <v>3402.1080000000002</v>
      </c>
      <c r="S55" s="15" t="str" cm="1">
        <f t="array" ref="S55">_xlfn.IFS(P55&lt;=40000,"Low",AND(P55&gt;41000,P55&lt;=80000),"mid",P55&gt;80000,"high")</f>
        <v>mid</v>
      </c>
      <c r="T55" s="15" t="str">
        <f t="shared" si="1"/>
        <v>No WFH</v>
      </c>
      <c r="U55" s="15" t="str">
        <f t="shared" si="2"/>
        <v>NoWFH</v>
      </c>
      <c r="V55" s="19" cm="1">
        <f t="array" ref="V55" xml:space="preserve"> _xlfn.IFS(N55="Very Good",15%,N55="Good",12%,N55="average",10%,TRUE,0)</f>
        <v>0.15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v xml:space="preserve"> Go</v>
      </c>
      <c r="R56" s="18">
        <f t="shared" si="0"/>
        <v>0</v>
      </c>
      <c r="S56" s="15" t="str" cm="1">
        <f t="array" ref="S56">_xlfn.IFS(P56&lt;=40000,"Low",AND(P56&gt;41000,P56&lt;=80000),"mid",P56&gt;80000,"high")</f>
        <v>Low</v>
      </c>
      <c r="T56" s="15" t="str">
        <f t="shared" si="1"/>
        <v>No WFH</v>
      </c>
      <c r="U56" s="15" t="str">
        <f t="shared" si="2"/>
        <v>NoWFH</v>
      </c>
      <c r="V56" s="19" cm="1">
        <f t="array" ref="V56" xml:space="preserve"> _xlfn.IFS(N56="Very Good",15%,N56="Good",12%,N56="average",10%,TRUE,0)</f>
        <v>0.1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v xml:space="preserve"> Go</v>
      </c>
      <c r="R57" s="18">
        <f t="shared" si="0"/>
        <v>0</v>
      </c>
      <c r="S57" s="15" t="str" cm="1">
        <f t="array" ref="S57">_xlfn.IFS(P57&lt;=40000,"Low",AND(P57&gt;41000,P57&lt;=80000),"mid",P57&gt;80000,"high")</f>
        <v>high</v>
      </c>
      <c r="T57" s="15" t="str">
        <f t="shared" si="1"/>
        <v>No WFH</v>
      </c>
      <c r="U57" s="15" t="str">
        <f t="shared" si="2"/>
        <v>NoWFH</v>
      </c>
      <c r="V57" s="19" cm="1">
        <f t="array" ref="V57" xml:space="preserve"> _xlfn.IFS(N57="Very Good",15%,N57="Good",12%,N57="average",10%,TRUE,0)</f>
        <v>0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v xml:space="preserve"> Go</v>
      </c>
      <c r="R58" s="18">
        <f t="shared" si="0"/>
        <v>0</v>
      </c>
      <c r="S58" s="15" t="str" cm="1">
        <f t="array" ref="S58">_xlfn.IFS(P58&lt;=40000,"Low",AND(P58&gt;41000,P58&lt;=80000),"mid",P58&gt;80000,"high")</f>
        <v>high</v>
      </c>
      <c r="T58" s="15" t="str">
        <f t="shared" si="1"/>
        <v>No WFH</v>
      </c>
      <c r="U58" s="15" t="str">
        <f t="shared" si="2"/>
        <v>work from home</v>
      </c>
      <c r="V58" s="19" cm="1">
        <f t="array" ref="V58" xml:space="preserve"> _xlfn.IFS(N58="Very Good",15%,N58="Good",12%,N58="average",10%,TRUE,0)</f>
        <v>0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v>Terminated</v>
      </c>
      <c r="R59" s="18">
        <f t="shared" si="0"/>
        <v>0</v>
      </c>
      <c r="S59" s="15" t="str" cm="1">
        <f t="array" ref="S59">_xlfn.IFS(P59&lt;=40000,"Low",AND(P59&gt;41000,P59&lt;=80000),"mid",P59&gt;80000,"high")</f>
        <v>mid</v>
      </c>
      <c r="T59" s="15" t="str">
        <f t="shared" si="1"/>
        <v>No WFH</v>
      </c>
      <c r="U59" s="15" t="str">
        <f t="shared" si="2"/>
        <v>work from home</v>
      </c>
      <c r="V59" s="19" cm="1">
        <f t="array" ref="V59" xml:space="preserve"> _xlfn.IFS(N59="Very Good",15%,N59="Good",12%,N59="average",10%,TRUE,0)</f>
        <v>0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v xml:space="preserve"> Go</v>
      </c>
      <c r="R60" s="18">
        <f t="shared" si="0"/>
        <v>0</v>
      </c>
      <c r="S60" s="15" t="str" cm="1">
        <f t="array" ref="S60">_xlfn.IFS(P60&lt;=40000,"Low",AND(P60&gt;41000,P60&lt;=80000),"mid",P60&gt;80000,"high")</f>
        <v>Low</v>
      </c>
      <c r="T60" s="15" t="str">
        <f t="shared" si="1"/>
        <v>No WFH</v>
      </c>
      <c r="U60" s="15" t="str">
        <f t="shared" si="2"/>
        <v>NoWFH</v>
      </c>
      <c r="V60" s="19" cm="1">
        <f t="array" ref="V60" xml:space="preserve"> _xlfn.IFS(N60="Very Good",15%,N60="Good",12%,N60="average",10%,TRUE,0)</f>
        <v>0.1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v xml:space="preserve"> Go</v>
      </c>
      <c r="R61" s="18">
        <f t="shared" si="0"/>
        <v>0</v>
      </c>
      <c r="S61" s="15" t="str" cm="1">
        <f t="array" ref="S61">_xlfn.IFS(P61&lt;=40000,"Low",AND(P61&gt;41000,P61&lt;=80000),"mid",P61&gt;80000,"high")</f>
        <v>high</v>
      </c>
      <c r="T61" s="15" t="str">
        <f t="shared" si="1"/>
        <v>No WFH</v>
      </c>
      <c r="U61" s="15" t="str">
        <f t="shared" si="2"/>
        <v>NoWFH</v>
      </c>
      <c r="V61" s="19" cm="1">
        <f t="array" ref="V61" xml:space="preserve"> _xlfn.IFS(N61="Very Good",15%,N61="Good",12%,N61="average",10%,TRUE,0)</f>
        <v>0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v xml:space="preserve"> Go</v>
      </c>
      <c r="R62" s="18">
        <f t="shared" si="0"/>
        <v>0</v>
      </c>
      <c r="S62" s="15" t="str" cm="1">
        <f t="array" ref="S62">_xlfn.IFS(P62&lt;=40000,"Low",AND(P62&gt;41000,P62&lt;=80000),"mid",P62&gt;80000,"high")</f>
        <v>high</v>
      </c>
      <c r="T62" s="15" t="str">
        <f t="shared" si="1"/>
        <v>No WFH</v>
      </c>
      <c r="U62" s="15" t="str">
        <f t="shared" si="2"/>
        <v>NoWFH</v>
      </c>
      <c r="V62" s="19" cm="1">
        <f t="array" ref="V62" xml:space="preserve"> _xlfn.IFS(N62="Very Good",15%,N62="Good",12%,N62="average",10%,TRUE,0)</f>
        <v>0.12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v xml:space="preserve"> Go</v>
      </c>
      <c r="R63" s="18">
        <f t="shared" si="0"/>
        <v>0</v>
      </c>
      <c r="S63" s="15" t="str" cm="1">
        <f t="array" ref="S63">_xlfn.IFS(P63&lt;=40000,"Low",AND(P63&gt;41000,P63&lt;=80000),"mid",P63&gt;80000,"high")</f>
        <v>high</v>
      </c>
      <c r="T63" s="15" t="str">
        <f t="shared" si="1"/>
        <v>No WFH</v>
      </c>
      <c r="U63" s="15" t="str">
        <f t="shared" si="2"/>
        <v>NoWFH</v>
      </c>
      <c r="V63" s="19" cm="1">
        <f t="array" ref="V63" xml:space="preserve"> _xlfn.IFS(N63="Very Good",15%,N63="Good",12%,N63="average",10%,TRUE,0)</f>
        <v>0.1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v xml:space="preserve"> Go</v>
      </c>
      <c r="R64" s="18">
        <f t="shared" si="0"/>
        <v>0</v>
      </c>
      <c r="S64" s="15" t="str" cm="1">
        <f t="array" ref="S64">_xlfn.IFS(P64&lt;=40000,"Low",AND(P64&gt;41000,P64&lt;=80000),"mid",P64&gt;80000,"high")</f>
        <v>mid</v>
      </c>
      <c r="T64" s="15" t="str">
        <f t="shared" si="1"/>
        <v>No WFH</v>
      </c>
      <c r="U64" s="15" t="str">
        <f t="shared" si="2"/>
        <v>NoWFH</v>
      </c>
      <c r="V64" s="19" cm="1">
        <f t="array" ref="V64" xml:space="preserve"> _xlfn.IFS(N64="Very Good",15%,N64="Good",12%,N64="average",10%,TRUE,0)</f>
        <v>0.12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v xml:space="preserve"> Go</v>
      </c>
      <c r="R65" s="18">
        <f t="shared" si="0"/>
        <v>0</v>
      </c>
      <c r="S65" s="15" t="str" cm="1">
        <f t="array" ref="S65">_xlfn.IFS(P65&lt;=40000,"Low",AND(P65&gt;41000,P65&lt;=80000),"mid",P65&gt;80000,"high")</f>
        <v>high</v>
      </c>
      <c r="T65" s="15" t="str">
        <f t="shared" si="1"/>
        <v>No WFH</v>
      </c>
      <c r="U65" s="15" t="str">
        <f t="shared" si="2"/>
        <v>NoWFH</v>
      </c>
      <c r="V65" s="19" cm="1">
        <f t="array" ref="V65" xml:space="preserve"> _xlfn.IFS(N65="Very Good",15%,N65="Good",12%,N65="average",10%,TRUE,0)</f>
        <v>0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v xml:space="preserve"> Go</v>
      </c>
      <c r="R66" s="18">
        <f t="shared" si="0"/>
        <v>0</v>
      </c>
      <c r="S66" s="15" t="str" cm="1">
        <f t="array" ref="S66">_xlfn.IFS(P66&lt;=40000,"Low",AND(P66&gt;41000,P66&lt;=80000),"mid",P66&gt;80000,"high")</f>
        <v>Low</v>
      </c>
      <c r="T66" s="15" t="str">
        <f t="shared" si="1"/>
        <v>No WFH</v>
      </c>
      <c r="U66" s="15" t="str">
        <f t="shared" si="2"/>
        <v>work from home</v>
      </c>
      <c r="V66" s="19" cm="1">
        <f t="array" ref="V66" xml:space="preserve"> _xlfn.IFS(N66="Very Good",15%,N66="Good",12%,N66="average",10%,TRUE,0)</f>
        <v>0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v xml:space="preserve"> Go</v>
      </c>
      <c r="R67" s="18">
        <f t="shared" si="0"/>
        <v>0</v>
      </c>
      <c r="S67" s="15" t="str" cm="1">
        <f t="array" ref="S67">_xlfn.IFS(P67&lt;=40000,"Low",AND(P67&gt;41000,P67&lt;=80000),"mid",P67&gt;80000,"high")</f>
        <v>high</v>
      </c>
      <c r="T67" s="15" t="str">
        <f t="shared" si="1"/>
        <v>No WFH</v>
      </c>
      <c r="U67" s="15" t="str">
        <f t="shared" si="2"/>
        <v>NoWFH</v>
      </c>
      <c r="V67" s="19" cm="1">
        <f t="array" ref="V67" xml:space="preserve"> _xlfn.IFS(N67="Very Good",15%,N67="Good",12%,N67="average",10%,TRUE,0)</f>
        <v>0.1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v xml:space="preserve"> Go</v>
      </c>
      <c r="R68" s="18">
        <f t="shared" si="0"/>
        <v>0</v>
      </c>
      <c r="S68" s="15" t="str" cm="1">
        <f t="array" ref="S68">_xlfn.IFS(P68&lt;=40000,"Low",AND(P68&gt;41000,P68&lt;=80000),"mid",P68&gt;80000,"high")</f>
        <v>high</v>
      </c>
      <c r="T68" s="15" t="str">
        <f t="shared" si="1"/>
        <v>No WFH</v>
      </c>
      <c r="U68" s="15" t="str">
        <f t="shared" si="2"/>
        <v>NoWFH</v>
      </c>
      <c r="V68" s="19" cm="1">
        <f t="array" ref="V68" xml:space="preserve"> _xlfn.IFS(N68="Very Good",15%,N68="Good",12%,N68="average",10%,TRUE,0)</f>
        <v>0.12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v xml:space="preserve"> Go</v>
      </c>
      <c r="R69" s="18">
        <f t="shared" ref="R69:R132" si="3">IF(N69="very good",P69*5%,0)</f>
        <v>5158.6245000000008</v>
      </c>
      <c r="S69" s="15" t="str" cm="1">
        <f t="array" ref="S69">_xlfn.IFS(P69&lt;=40000,"Low",AND(P69&gt;41000,P69&lt;=80000),"mid",P69&gt;80000,"high")</f>
        <v>high</v>
      </c>
      <c r="T69" s="15" t="str">
        <f t="shared" ref="T69:T132" si="4">IF(AND(L69="HR",I69="Mumbai"),"work from home","No WFH")</f>
        <v>No WFH</v>
      </c>
      <c r="U69" s="15" t="str">
        <f t="shared" ref="U69:U132" si="5">IF(OR(L69="finance",L69="Hr"),"work from home","NoWFH")</f>
        <v>work from home</v>
      </c>
      <c r="V69" s="19" cm="1">
        <f t="array" ref="V69" xml:space="preserve"> _xlfn.IFS(N69="Very Good",15%,N69="Good",12%,N69="average",10%,TRUE,0)</f>
        <v>0.15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v xml:space="preserve"> Go</v>
      </c>
      <c r="R70" s="18">
        <f t="shared" si="3"/>
        <v>0</v>
      </c>
      <c r="S70" s="15" t="str" cm="1">
        <f t="array" ref="S70">_xlfn.IFS(P70&lt;=40000,"Low",AND(P70&gt;41000,P70&lt;=80000),"mid",P70&gt;80000,"high")</f>
        <v>high</v>
      </c>
      <c r="T70" s="15" t="str">
        <f t="shared" si="4"/>
        <v>No WFH</v>
      </c>
      <c r="U70" s="15" t="str">
        <f t="shared" si="5"/>
        <v>NoWFH</v>
      </c>
      <c r="V70" s="19" cm="1">
        <f t="array" ref="V70" xml:space="preserve"> _xlfn.IFS(N70="Very Good",15%,N70="Good",12%,N70="average",10%,TRUE,0)</f>
        <v>0.12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v xml:space="preserve"> Go</v>
      </c>
      <c r="R71" s="18">
        <f t="shared" si="3"/>
        <v>0</v>
      </c>
      <c r="S71" s="15" t="str" cm="1">
        <f t="array" ref="S71">_xlfn.IFS(P71&lt;=40000,"Low",AND(P71&gt;41000,P71&lt;=80000),"mid",P71&gt;80000,"high")</f>
        <v>high</v>
      </c>
      <c r="T71" s="15" t="str">
        <f t="shared" si="4"/>
        <v>No WFH</v>
      </c>
      <c r="U71" s="15" t="str">
        <f t="shared" si="5"/>
        <v>work from home</v>
      </c>
      <c r="V71" s="19" cm="1">
        <f t="array" ref="V71" xml:space="preserve"> _xlfn.IFS(N71="Very Good",15%,N71="Good",12%,N71="average",10%,TRUE,0)</f>
        <v>0.1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v xml:space="preserve"> Go</v>
      </c>
      <c r="R72" s="18">
        <f t="shared" si="3"/>
        <v>0</v>
      </c>
      <c r="S72" s="15" t="str" cm="1">
        <f t="array" ref="S72">_xlfn.IFS(P72&lt;=40000,"Low",AND(P72&gt;41000,P72&lt;=80000),"mid",P72&gt;80000,"high")</f>
        <v>high</v>
      </c>
      <c r="T72" s="15" t="str">
        <f t="shared" si="4"/>
        <v>No WFH</v>
      </c>
      <c r="U72" s="15" t="str">
        <f t="shared" si="5"/>
        <v>NoWFH</v>
      </c>
      <c r="V72" s="19" cm="1">
        <f t="array" ref="V72" xml:space="preserve"> _xlfn.IFS(N72="Very Good",15%,N72="Good",12%,N72="average",10%,TRUE,0)</f>
        <v>0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v>Terminated</v>
      </c>
      <c r="R73" s="18">
        <f t="shared" si="3"/>
        <v>0</v>
      </c>
      <c r="S73" s="15" t="str" cm="1">
        <f t="array" ref="S73">_xlfn.IFS(P73&lt;=40000,"Low",AND(P73&gt;41000,P73&lt;=80000),"mid",P73&gt;80000,"high")</f>
        <v>high</v>
      </c>
      <c r="T73" s="15" t="str">
        <f t="shared" si="4"/>
        <v>No WFH</v>
      </c>
      <c r="U73" s="15" t="str">
        <f t="shared" si="5"/>
        <v>NoWFH</v>
      </c>
      <c r="V73" s="19" cm="1">
        <f t="array" ref="V73" xml:space="preserve"> _xlfn.IFS(N73="Very Good",15%,N73="Good",12%,N73="average",10%,TRUE,0)</f>
        <v>0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v xml:space="preserve"> Go</v>
      </c>
      <c r="R74" s="18">
        <f t="shared" si="3"/>
        <v>0</v>
      </c>
      <c r="S74" s="15" t="str" cm="1">
        <f t="array" ref="S74">_xlfn.IFS(P74&lt;=40000,"Low",AND(P74&gt;41000,P74&lt;=80000),"mid",P74&gt;80000,"high")</f>
        <v>high</v>
      </c>
      <c r="T74" s="15" t="str">
        <f t="shared" si="4"/>
        <v>No WFH</v>
      </c>
      <c r="U74" s="15" t="str">
        <f t="shared" si="5"/>
        <v>NoWFH</v>
      </c>
      <c r="V74" s="19" cm="1">
        <f t="array" ref="V74" xml:space="preserve"> _xlfn.IFS(N74="Very Good",15%,N74="Good",12%,N74="average",10%,TRUE,0)</f>
        <v>0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v xml:space="preserve"> Go</v>
      </c>
      <c r="R75" s="18">
        <f t="shared" si="3"/>
        <v>0</v>
      </c>
      <c r="S75" s="15" t="str" cm="1">
        <f t="array" ref="S75">_xlfn.IFS(P75&lt;=40000,"Low",AND(P75&gt;41000,P75&lt;=80000),"mid",P75&gt;80000,"high")</f>
        <v>mid</v>
      </c>
      <c r="T75" s="15" t="str">
        <f t="shared" si="4"/>
        <v>No WFH</v>
      </c>
      <c r="U75" s="15" t="str">
        <f t="shared" si="5"/>
        <v>NoWFH</v>
      </c>
      <c r="V75" s="19" cm="1">
        <f t="array" ref="V75" xml:space="preserve"> _xlfn.IFS(N75="Very Good",15%,N75="Good",12%,N75="average",10%,TRUE,0)</f>
        <v>0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v xml:space="preserve"> Go</v>
      </c>
      <c r="R76" s="18">
        <f t="shared" si="3"/>
        <v>0</v>
      </c>
      <c r="S76" s="15" t="str" cm="1">
        <f t="array" ref="S76">_xlfn.IFS(P76&lt;=40000,"Low",AND(P76&gt;41000,P76&lt;=80000),"mid",P76&gt;80000,"high")</f>
        <v>Low</v>
      </c>
      <c r="T76" s="15" t="str">
        <f t="shared" si="4"/>
        <v>No WFH</v>
      </c>
      <c r="U76" s="15" t="str">
        <f t="shared" si="5"/>
        <v>NoWFH</v>
      </c>
      <c r="V76" s="19" cm="1">
        <f t="array" ref="V76" xml:space="preserve"> _xlfn.IFS(N76="Very Good",15%,N76="Good",12%,N76="average",10%,TRUE,0)</f>
        <v>0.12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v xml:space="preserve"> Go</v>
      </c>
      <c r="R77" s="18">
        <f t="shared" si="3"/>
        <v>0</v>
      </c>
      <c r="S77" s="15" t="str" cm="1">
        <f t="array" ref="S77">_xlfn.IFS(P77&lt;=40000,"Low",AND(P77&gt;41000,P77&lt;=80000),"mid",P77&gt;80000,"high")</f>
        <v>Low</v>
      </c>
      <c r="T77" s="15" t="str">
        <f t="shared" si="4"/>
        <v>No WFH</v>
      </c>
      <c r="U77" s="15" t="str">
        <f t="shared" si="5"/>
        <v>NoWFH</v>
      </c>
      <c r="V77" s="19" cm="1">
        <f t="array" ref="V77" xml:space="preserve"> _xlfn.IFS(N77="Very Good",15%,N77="Good",12%,N77="average",10%,TRUE,0)</f>
        <v>0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v xml:space="preserve"> Go</v>
      </c>
      <c r="R78" s="18">
        <f t="shared" si="3"/>
        <v>0</v>
      </c>
      <c r="S78" s="15" t="str" cm="1">
        <f t="array" ref="S78">_xlfn.IFS(P78&lt;=40000,"Low",AND(P78&gt;41000,P78&lt;=80000),"mid",P78&gt;80000,"high")</f>
        <v>Low</v>
      </c>
      <c r="T78" s="15" t="str">
        <f t="shared" si="4"/>
        <v>No WFH</v>
      </c>
      <c r="U78" s="15" t="str">
        <f t="shared" si="5"/>
        <v>NoWFH</v>
      </c>
      <c r="V78" s="19" cm="1">
        <f t="array" ref="V78" xml:space="preserve"> _xlfn.IFS(N78="Very Good",15%,N78="Good",12%,N78="average",10%,TRUE,0)</f>
        <v>0.12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v>Terminated</v>
      </c>
      <c r="R79" s="18">
        <f t="shared" si="3"/>
        <v>0</v>
      </c>
      <c r="S79" s="15" t="str" cm="1">
        <f t="array" ref="S79">_xlfn.IFS(P79&lt;=40000,"Low",AND(P79&gt;41000,P79&lt;=80000),"mid",P79&gt;80000,"high")</f>
        <v>high</v>
      </c>
      <c r="T79" s="15" t="str">
        <f t="shared" si="4"/>
        <v>No WFH</v>
      </c>
      <c r="U79" s="15" t="str">
        <f t="shared" si="5"/>
        <v>NoWFH</v>
      </c>
      <c r="V79" s="19" cm="1">
        <f t="array" ref="V79" xml:space="preserve"> _xlfn.IFS(N79="Very Good",15%,N79="Good",12%,N79="average",10%,TRUE,0)</f>
        <v>0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v xml:space="preserve"> Go</v>
      </c>
      <c r="R80" s="18">
        <f t="shared" si="3"/>
        <v>2128.9950000000003</v>
      </c>
      <c r="S80" s="15" t="str" cm="1">
        <f t="array" ref="S80">_xlfn.IFS(P80&lt;=40000,"Low",AND(P80&gt;41000,P80&lt;=80000),"mid",P80&gt;80000,"high")</f>
        <v>mid</v>
      </c>
      <c r="T80" s="15" t="str">
        <f t="shared" si="4"/>
        <v>No WFH</v>
      </c>
      <c r="U80" s="15" t="str">
        <f t="shared" si="5"/>
        <v>work from home</v>
      </c>
      <c r="V80" s="19" cm="1">
        <f t="array" ref="V80" xml:space="preserve"> _xlfn.IFS(N80="Very Good",15%,N80="Good",12%,N80="average",10%,TRUE,0)</f>
        <v>0.15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v>Terminated</v>
      </c>
      <c r="R81" s="18">
        <f t="shared" si="3"/>
        <v>0</v>
      </c>
      <c r="S81" s="15" t="str" cm="1">
        <f t="array" ref="S81">_xlfn.IFS(P81&lt;=40000,"Low",AND(P81&gt;41000,P81&lt;=80000),"mid",P81&gt;80000,"high")</f>
        <v>high</v>
      </c>
      <c r="T81" s="15" t="str">
        <f t="shared" si="4"/>
        <v>No WFH</v>
      </c>
      <c r="U81" s="15" t="str">
        <f t="shared" si="5"/>
        <v>NoWFH</v>
      </c>
      <c r="V81" s="19" cm="1">
        <f t="array" ref="V81" xml:space="preserve"> _xlfn.IFS(N81="Very Good",15%,N81="Good",12%,N81="average",10%,TRUE,0)</f>
        <v>0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v>Terminated</v>
      </c>
      <c r="R82" s="18">
        <f t="shared" si="3"/>
        <v>0</v>
      </c>
      <c r="S82" s="15" t="str" cm="1">
        <f t="array" ref="S82">_xlfn.IFS(P82&lt;=40000,"Low",AND(P82&gt;41000,P82&lt;=80000),"mid",P82&gt;80000,"high")</f>
        <v>high</v>
      </c>
      <c r="T82" s="15" t="str">
        <f t="shared" si="4"/>
        <v>No WFH</v>
      </c>
      <c r="U82" s="15" t="str">
        <f t="shared" si="5"/>
        <v>NoWFH</v>
      </c>
      <c r="V82" s="19" cm="1">
        <f t="array" ref="V82" xml:space="preserve"> _xlfn.IFS(N82="Very Good",15%,N82="Good",12%,N82="average",10%,TRUE,0)</f>
        <v>0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v xml:space="preserve"> Go</v>
      </c>
      <c r="R83" s="18">
        <f t="shared" si="3"/>
        <v>4191.8175000000001</v>
      </c>
      <c r="S83" s="15" t="str" cm="1">
        <f t="array" ref="S83">_xlfn.IFS(P83&lt;=40000,"Low",AND(P83&gt;41000,P83&lt;=80000),"mid",P83&gt;80000,"high")</f>
        <v>high</v>
      </c>
      <c r="T83" s="15" t="str">
        <f t="shared" si="4"/>
        <v>No WFH</v>
      </c>
      <c r="U83" s="15" t="str">
        <f t="shared" si="5"/>
        <v>work from home</v>
      </c>
      <c r="V83" s="19" cm="1">
        <f t="array" ref="V83" xml:space="preserve"> _xlfn.IFS(N83="Very Good",15%,N83="Good",12%,N83="average",10%,TRUE,0)</f>
        <v>0.15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v xml:space="preserve"> Go</v>
      </c>
      <c r="R84" s="18">
        <f t="shared" si="3"/>
        <v>0</v>
      </c>
      <c r="S84" s="15" t="str" cm="1">
        <f t="array" ref="S84">_xlfn.IFS(P84&lt;=40000,"Low",AND(P84&gt;41000,P84&lt;=80000),"mid",P84&gt;80000,"high")</f>
        <v>high</v>
      </c>
      <c r="T84" s="15" t="str">
        <f t="shared" si="4"/>
        <v>No WFH</v>
      </c>
      <c r="U84" s="15" t="str">
        <f t="shared" si="5"/>
        <v>NoWFH</v>
      </c>
      <c r="V84" s="19" cm="1">
        <f t="array" ref="V84" xml:space="preserve"> _xlfn.IFS(N84="Very Good",15%,N84="Good",12%,N84="average",10%,TRUE,0)</f>
        <v>0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v xml:space="preserve"> Go</v>
      </c>
      <c r="R85" s="18">
        <f t="shared" si="3"/>
        <v>0</v>
      </c>
      <c r="S85" s="15" t="str" cm="1">
        <f t="array" ref="S85">_xlfn.IFS(P85&lt;=40000,"Low",AND(P85&gt;41000,P85&lt;=80000),"mid",P85&gt;80000,"high")</f>
        <v>high</v>
      </c>
      <c r="T85" s="15" t="str">
        <f t="shared" si="4"/>
        <v>No WFH</v>
      </c>
      <c r="U85" s="15" t="str">
        <f t="shared" si="5"/>
        <v>work from home</v>
      </c>
      <c r="V85" s="19" cm="1">
        <f t="array" ref="V85" xml:space="preserve"> _xlfn.IFS(N85="Very Good",15%,N85="Good",12%,N85="average",10%,TRUE,0)</f>
        <v>0.12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v xml:space="preserve"> Go</v>
      </c>
      <c r="R86" s="18">
        <f t="shared" si="3"/>
        <v>0</v>
      </c>
      <c r="S86" s="15" t="str" cm="1">
        <f t="array" ref="S86">_xlfn.IFS(P86&lt;=40000,"Low",AND(P86&gt;41000,P86&lt;=80000),"mid",P86&gt;80000,"high")</f>
        <v>Low</v>
      </c>
      <c r="T86" s="15" t="str">
        <f t="shared" si="4"/>
        <v>No WFH</v>
      </c>
      <c r="U86" s="15" t="str">
        <f t="shared" si="5"/>
        <v>NoWFH</v>
      </c>
      <c r="V86" s="19" cm="1">
        <f t="array" ref="V86" xml:space="preserve"> _xlfn.IFS(N86="Very Good",15%,N86="Good",12%,N86="average",10%,TRUE,0)</f>
        <v>0.1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v xml:space="preserve"> Go</v>
      </c>
      <c r="R87" s="18">
        <f t="shared" si="3"/>
        <v>0</v>
      </c>
      <c r="S87" s="15" t="str" cm="1">
        <f t="array" ref="S87">_xlfn.IFS(P87&lt;=40000,"Low",AND(P87&gt;41000,P87&lt;=80000),"mid",P87&gt;80000,"high")</f>
        <v>mid</v>
      </c>
      <c r="T87" s="15" t="str">
        <f t="shared" si="4"/>
        <v>No WFH</v>
      </c>
      <c r="U87" s="15" t="str">
        <f t="shared" si="5"/>
        <v>work from home</v>
      </c>
      <c r="V87" s="19" cm="1">
        <f t="array" ref="V87" xml:space="preserve"> _xlfn.IFS(N87="Very Good",15%,N87="Good",12%,N87="average",10%,TRUE,0)</f>
        <v>0.12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v xml:space="preserve"> Go</v>
      </c>
      <c r="R88" s="18">
        <f t="shared" si="3"/>
        <v>0</v>
      </c>
      <c r="S88" s="15" t="str" cm="1">
        <f t="array" ref="S88">_xlfn.IFS(P88&lt;=40000,"Low",AND(P88&gt;41000,P88&lt;=80000),"mid",P88&gt;80000,"high")</f>
        <v>high</v>
      </c>
      <c r="T88" s="15" t="str">
        <f t="shared" si="4"/>
        <v>No WFH</v>
      </c>
      <c r="U88" s="15" t="str">
        <f t="shared" si="5"/>
        <v>NoWFH</v>
      </c>
      <c r="V88" s="19" cm="1">
        <f t="array" ref="V88" xml:space="preserve"> _xlfn.IFS(N88="Very Good",15%,N88="Good",12%,N88="average",10%,TRUE,0)</f>
        <v>0.12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v xml:space="preserve"> Go</v>
      </c>
      <c r="R89" s="18">
        <f t="shared" si="3"/>
        <v>0</v>
      </c>
      <c r="S89" s="15" t="str" cm="1">
        <f t="array" ref="S89">_xlfn.IFS(P89&lt;=40000,"Low",AND(P89&gt;41000,P89&lt;=80000),"mid",P89&gt;80000,"high")</f>
        <v>high</v>
      </c>
      <c r="T89" s="15" t="str">
        <f t="shared" si="4"/>
        <v>No WFH</v>
      </c>
      <c r="U89" s="15" t="str">
        <f t="shared" si="5"/>
        <v>work from home</v>
      </c>
      <c r="V89" s="19" cm="1">
        <f t="array" ref="V89" xml:space="preserve"> _xlfn.IFS(N89="Very Good",15%,N89="Good",12%,N89="average",10%,TRUE,0)</f>
        <v>0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v xml:space="preserve"> Go</v>
      </c>
      <c r="R90" s="18">
        <f t="shared" si="3"/>
        <v>0</v>
      </c>
      <c r="S90" s="15" t="str" cm="1">
        <f t="array" ref="S90">_xlfn.IFS(P90&lt;=40000,"Low",AND(P90&gt;41000,P90&lt;=80000),"mid",P90&gt;80000,"high")</f>
        <v>mid</v>
      </c>
      <c r="T90" s="15" t="str">
        <f t="shared" si="4"/>
        <v>No WFH</v>
      </c>
      <c r="U90" s="15" t="str">
        <f t="shared" si="5"/>
        <v>NoWFH</v>
      </c>
      <c r="V90" s="19" cm="1">
        <f t="array" ref="V90" xml:space="preserve"> _xlfn.IFS(N90="Very Good",15%,N90="Good",12%,N90="average",10%,TRUE,0)</f>
        <v>0.1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v>Terminated</v>
      </c>
      <c r="R91" s="18">
        <f t="shared" si="3"/>
        <v>0</v>
      </c>
      <c r="S91" s="15" t="str" cm="1">
        <f t="array" ref="S91">_xlfn.IFS(P91&lt;=40000,"Low",AND(P91&gt;41000,P91&lt;=80000),"mid",P91&gt;80000,"high")</f>
        <v>high</v>
      </c>
      <c r="T91" s="15" t="str">
        <f t="shared" si="4"/>
        <v>No WFH</v>
      </c>
      <c r="U91" s="15" t="str">
        <f t="shared" si="5"/>
        <v>work from home</v>
      </c>
      <c r="V91" s="19" cm="1">
        <f t="array" ref="V91" xml:space="preserve"> _xlfn.IFS(N91="Very Good",15%,N91="Good",12%,N91="average",10%,TRUE,0)</f>
        <v>0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v xml:space="preserve"> Go</v>
      </c>
      <c r="R92" s="18">
        <f t="shared" si="3"/>
        <v>0</v>
      </c>
      <c r="S92" s="15" t="str" cm="1">
        <f t="array" ref="S92">_xlfn.IFS(P92&lt;=40000,"Low",AND(P92&gt;41000,P92&lt;=80000),"mid",P92&gt;80000,"high")</f>
        <v>high</v>
      </c>
      <c r="T92" s="15" t="str">
        <f t="shared" si="4"/>
        <v>No WFH</v>
      </c>
      <c r="U92" s="15" t="str">
        <f t="shared" si="5"/>
        <v>NoWFH</v>
      </c>
      <c r="V92" s="19" cm="1">
        <f t="array" ref="V92" xml:space="preserve"> _xlfn.IFS(N92="Very Good",15%,N92="Good",12%,N92="average",10%,TRUE,0)</f>
        <v>0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v>Terminated</v>
      </c>
      <c r="R93" s="18">
        <f t="shared" si="3"/>
        <v>0</v>
      </c>
      <c r="S93" s="15" t="str" cm="1">
        <f t="array" ref="S93">_xlfn.IFS(P93&lt;=40000,"Low",AND(P93&gt;41000,P93&lt;=80000),"mid",P93&gt;80000,"high")</f>
        <v>high</v>
      </c>
      <c r="T93" s="15" t="str">
        <f t="shared" si="4"/>
        <v>No WFH</v>
      </c>
      <c r="U93" s="15" t="str">
        <f t="shared" si="5"/>
        <v>NoWFH</v>
      </c>
      <c r="V93" s="19" cm="1">
        <f t="array" ref="V93" xml:space="preserve"> _xlfn.IFS(N93="Very Good",15%,N93="Good",12%,N93="average",10%,TRUE,0)</f>
        <v>0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v xml:space="preserve"> Go</v>
      </c>
      <c r="R94" s="18">
        <f t="shared" si="3"/>
        <v>0</v>
      </c>
      <c r="S94" s="15" t="str" cm="1">
        <f t="array" ref="S94">_xlfn.IFS(P94&lt;=40000,"Low",AND(P94&gt;41000,P94&lt;=80000),"mid",P94&gt;80000,"high")</f>
        <v>mid</v>
      </c>
      <c r="T94" s="15" t="str">
        <f t="shared" si="4"/>
        <v>No WFH</v>
      </c>
      <c r="U94" s="15" t="str">
        <f t="shared" si="5"/>
        <v>NoWFH</v>
      </c>
      <c r="V94" s="19" cm="1">
        <f t="array" ref="V94" xml:space="preserve"> _xlfn.IFS(N94="Very Good",15%,N94="Good",12%,N94="average",10%,TRUE,0)</f>
        <v>0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v xml:space="preserve"> Go</v>
      </c>
      <c r="R95" s="18">
        <f t="shared" si="3"/>
        <v>0</v>
      </c>
      <c r="S95" s="15" t="str" cm="1">
        <f t="array" ref="S95">_xlfn.IFS(P95&lt;=40000,"Low",AND(P95&gt;41000,P95&lt;=80000),"mid",P95&gt;80000,"high")</f>
        <v>Low</v>
      </c>
      <c r="T95" s="15" t="str">
        <f t="shared" si="4"/>
        <v>No WFH</v>
      </c>
      <c r="U95" s="15" t="str">
        <f t="shared" si="5"/>
        <v>work from home</v>
      </c>
      <c r="V95" s="19" cm="1">
        <f t="array" ref="V95" xml:space="preserve"> _xlfn.IFS(N95="Very Good",15%,N95="Good",12%,N95="average",10%,TRUE,0)</f>
        <v>0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v xml:space="preserve"> Go</v>
      </c>
      <c r="R96" s="18">
        <f t="shared" si="3"/>
        <v>0</v>
      </c>
      <c r="S96" s="15" t="str" cm="1">
        <f t="array" ref="S96">_xlfn.IFS(P96&lt;=40000,"Low",AND(P96&gt;41000,P96&lt;=80000),"mid",P96&gt;80000,"high")</f>
        <v>high</v>
      </c>
      <c r="T96" s="15" t="str">
        <f t="shared" si="4"/>
        <v>No WFH</v>
      </c>
      <c r="U96" s="15" t="str">
        <f t="shared" si="5"/>
        <v>work from home</v>
      </c>
      <c r="V96" s="19" cm="1">
        <f t="array" ref="V96" xml:space="preserve"> _xlfn.IFS(N96="Very Good",15%,N96="Good",12%,N96="average",10%,TRUE,0)</f>
        <v>0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v>Terminated</v>
      </c>
      <c r="R97" s="18">
        <f t="shared" si="3"/>
        <v>0</v>
      </c>
      <c r="S97" s="15" t="str" cm="1">
        <f t="array" ref="S97">_xlfn.IFS(P97&lt;=40000,"Low",AND(P97&gt;41000,P97&lt;=80000),"mid",P97&gt;80000,"high")</f>
        <v>high</v>
      </c>
      <c r="T97" s="15" t="str">
        <f t="shared" si="4"/>
        <v>No WFH</v>
      </c>
      <c r="U97" s="15" t="str">
        <f t="shared" si="5"/>
        <v>work from home</v>
      </c>
      <c r="V97" s="19" cm="1">
        <f t="array" ref="V97" xml:space="preserve"> _xlfn.IFS(N97="Very Good",15%,N97="Good",12%,N97="average",10%,TRUE,0)</f>
        <v>0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v xml:space="preserve"> Go</v>
      </c>
      <c r="R98" s="18">
        <f t="shared" si="3"/>
        <v>2896.9020000000005</v>
      </c>
      <c r="S98" s="15" t="str" cm="1">
        <f t="array" ref="S98">_xlfn.IFS(P98&lt;=40000,"Low",AND(P98&gt;41000,P98&lt;=80000),"mid",P98&gt;80000,"high")</f>
        <v>mid</v>
      </c>
      <c r="T98" s="15" t="str">
        <f t="shared" si="4"/>
        <v>No WFH</v>
      </c>
      <c r="U98" s="15" t="str">
        <f t="shared" si="5"/>
        <v>NoWFH</v>
      </c>
      <c r="V98" s="19" cm="1">
        <f t="array" ref="V98" xml:space="preserve"> _xlfn.IFS(N98="Very Good",15%,N98="Good",12%,N98="average",10%,TRUE,0)</f>
        <v>0.15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v xml:space="preserve"> Go</v>
      </c>
      <c r="R99" s="18">
        <f t="shared" si="3"/>
        <v>5546.7855000000009</v>
      </c>
      <c r="S99" s="15" t="str" cm="1">
        <f t="array" ref="S99">_xlfn.IFS(P99&lt;=40000,"Low",AND(P99&gt;41000,P99&lt;=80000),"mid",P99&gt;80000,"high")</f>
        <v>high</v>
      </c>
      <c r="T99" s="15" t="str">
        <f t="shared" si="4"/>
        <v>No WFH</v>
      </c>
      <c r="U99" s="15" t="str">
        <f t="shared" si="5"/>
        <v>NoWFH</v>
      </c>
      <c r="V99" s="19" cm="1">
        <f t="array" ref="V99" xml:space="preserve"> _xlfn.IFS(N99="Very Good",15%,N99="Good",12%,N99="average",10%,TRUE,0)</f>
        <v>0.15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v>Terminated</v>
      </c>
      <c r="R100" s="18">
        <f t="shared" si="3"/>
        <v>0</v>
      </c>
      <c r="S100" s="15" t="str" cm="1">
        <f t="array" ref="S100">_xlfn.IFS(P100&lt;=40000,"Low",AND(P100&gt;41000,P100&lt;=80000),"mid",P100&gt;80000,"high")</f>
        <v>high</v>
      </c>
      <c r="T100" s="15" t="str">
        <f t="shared" si="4"/>
        <v>No WFH</v>
      </c>
      <c r="U100" s="15" t="str">
        <f t="shared" si="5"/>
        <v>NoWFH</v>
      </c>
      <c r="V100" s="19" cm="1">
        <f t="array" ref="V100" xml:space="preserve"> _xlfn.IFS(N100="Very Good",15%,N100="Good",12%,N100="average",10%,TRUE,0)</f>
        <v>0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v>Terminated</v>
      </c>
      <c r="R101" s="18">
        <f t="shared" si="3"/>
        <v>0</v>
      </c>
      <c r="S101" s="15" t="str" cm="1">
        <f t="array" ref="S101">_xlfn.IFS(P101&lt;=40000,"Low",AND(P101&gt;41000,P101&lt;=80000),"mid",P101&gt;80000,"high")</f>
        <v>high</v>
      </c>
      <c r="T101" s="15" t="str">
        <f t="shared" si="4"/>
        <v>No WFH</v>
      </c>
      <c r="U101" s="15" t="str">
        <f t="shared" si="5"/>
        <v>work from home</v>
      </c>
      <c r="V101" s="19" cm="1">
        <f t="array" ref="V101" xml:space="preserve"> _xlfn.IFS(N101="Very Good",15%,N101="Good",12%,N101="average",10%,TRUE,0)</f>
        <v>0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v xml:space="preserve"> Go</v>
      </c>
      <c r="R102" s="18">
        <f t="shared" si="3"/>
        <v>6426.1530000000002</v>
      </c>
      <c r="S102" s="15" t="str" cm="1">
        <f t="array" ref="S102">_xlfn.IFS(P102&lt;=40000,"Low",AND(P102&gt;41000,P102&lt;=80000),"mid",P102&gt;80000,"high")</f>
        <v>high</v>
      </c>
      <c r="T102" s="15" t="str">
        <f t="shared" si="4"/>
        <v>work from home</v>
      </c>
      <c r="U102" s="15" t="str">
        <f t="shared" si="5"/>
        <v>work from home</v>
      </c>
      <c r="V102" s="19" cm="1">
        <f t="array" ref="V102" xml:space="preserve"> _xlfn.IFS(N102="Very Good",15%,N102="Good",12%,N102="average",10%,TRUE,0)</f>
        <v>0.15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v xml:space="preserve"> Go</v>
      </c>
      <c r="R103" s="18">
        <f t="shared" si="3"/>
        <v>0</v>
      </c>
      <c r="S103" s="15" t="str" cm="1">
        <f t="array" ref="S103">_xlfn.IFS(P103&lt;=40000,"Low",AND(P103&gt;41000,P103&lt;=80000),"mid",P103&gt;80000,"high")</f>
        <v>Low</v>
      </c>
      <c r="T103" s="15" t="str">
        <f t="shared" si="4"/>
        <v>No WFH</v>
      </c>
      <c r="U103" s="15" t="str">
        <f t="shared" si="5"/>
        <v>work from home</v>
      </c>
      <c r="V103" s="19" cm="1">
        <f t="array" ref="V103" xml:space="preserve"> _xlfn.IFS(N103="Very Good",15%,N103="Good",12%,N103="average",10%,TRUE,0)</f>
        <v>0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v>Terminated</v>
      </c>
      <c r="R104" s="18">
        <f t="shared" si="3"/>
        <v>0</v>
      </c>
      <c r="S104" s="15" t="str" cm="1">
        <f t="array" ref="S104">_xlfn.IFS(P104&lt;=40000,"Low",AND(P104&gt;41000,P104&lt;=80000),"mid",P104&gt;80000,"high")</f>
        <v>high</v>
      </c>
      <c r="T104" s="15" t="str">
        <f t="shared" si="4"/>
        <v>No WFH</v>
      </c>
      <c r="U104" s="15" t="str">
        <f t="shared" si="5"/>
        <v>NoWFH</v>
      </c>
      <c r="V104" s="19" cm="1">
        <f t="array" ref="V104" xml:space="preserve"> _xlfn.IFS(N104="Very Good",15%,N104="Good",12%,N104="average",10%,TRUE,0)</f>
        <v>0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v xml:space="preserve"> Go</v>
      </c>
      <c r="R105" s="18">
        <f t="shared" si="3"/>
        <v>0</v>
      </c>
      <c r="S105" s="15" t="str" cm="1">
        <f t="array" ref="S105">_xlfn.IFS(P105&lt;=40000,"Low",AND(P105&gt;41000,P105&lt;=80000),"mid",P105&gt;80000,"high")</f>
        <v>high</v>
      </c>
      <c r="T105" s="15" t="str">
        <f t="shared" si="4"/>
        <v>No WFH</v>
      </c>
      <c r="U105" s="15" t="str">
        <f t="shared" si="5"/>
        <v>NoWFH</v>
      </c>
      <c r="V105" s="19" cm="1">
        <f t="array" ref="V105" xml:space="preserve"> _xlfn.IFS(N105="Very Good",15%,N105="Good",12%,N105="average",10%,TRUE,0)</f>
        <v>0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v xml:space="preserve"> Go</v>
      </c>
      <c r="R106" s="18">
        <f t="shared" si="3"/>
        <v>0</v>
      </c>
      <c r="S106" s="15" t="str" cm="1">
        <f t="array" ref="S106">_xlfn.IFS(P106&lt;=40000,"Low",AND(P106&gt;41000,P106&lt;=80000),"mid",P106&gt;80000,"high")</f>
        <v>mid</v>
      </c>
      <c r="T106" s="15" t="str">
        <f t="shared" si="4"/>
        <v>No WFH</v>
      </c>
      <c r="U106" s="15" t="str">
        <f t="shared" si="5"/>
        <v>work from home</v>
      </c>
      <c r="V106" s="19" cm="1">
        <f t="array" ref="V106" xml:space="preserve"> _xlfn.IFS(N106="Very Good",15%,N106="Good",12%,N106="average",10%,TRUE,0)</f>
        <v>0.12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v xml:space="preserve"> Go</v>
      </c>
      <c r="R107" s="18">
        <f t="shared" si="3"/>
        <v>1896.1290000000001</v>
      </c>
      <c r="S107" s="15" t="str" cm="1">
        <f t="array" ref="S107">_xlfn.IFS(P107&lt;=40000,"Low",AND(P107&gt;41000,P107&lt;=80000),"mid",P107&gt;80000,"high")</f>
        <v>Low</v>
      </c>
      <c r="T107" s="15" t="str">
        <f t="shared" si="4"/>
        <v>No WFH</v>
      </c>
      <c r="U107" s="15" t="str">
        <f t="shared" si="5"/>
        <v>NoWFH</v>
      </c>
      <c r="V107" s="19" cm="1">
        <f t="array" ref="V107" xml:space="preserve"> _xlfn.IFS(N107="Very Good",15%,N107="Good",12%,N107="average",10%,TRUE,0)</f>
        <v>0.15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v xml:space="preserve"> Go</v>
      </c>
      <c r="R108" s="18">
        <f t="shared" si="3"/>
        <v>0</v>
      </c>
      <c r="S108" s="15" t="str" cm="1">
        <f t="array" ref="S108">_xlfn.IFS(P108&lt;=40000,"Low",AND(P108&gt;41000,P108&lt;=80000),"mid",P108&gt;80000,"high")</f>
        <v>mid</v>
      </c>
      <c r="T108" s="15" t="str">
        <f t="shared" si="4"/>
        <v>work from home</v>
      </c>
      <c r="U108" s="15" t="str">
        <f t="shared" si="5"/>
        <v>work from home</v>
      </c>
      <c r="V108" s="19" cm="1">
        <f t="array" ref="V108" xml:space="preserve"> _xlfn.IFS(N108="Very Good",15%,N108="Good",12%,N108="average",10%,TRUE,0)</f>
        <v>0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v>Terminated</v>
      </c>
      <c r="R109" s="18">
        <f t="shared" si="3"/>
        <v>0</v>
      </c>
      <c r="S109" s="15" t="str" cm="1">
        <f t="array" ref="S109">_xlfn.IFS(P109&lt;=40000,"Low",AND(P109&gt;41000,P109&lt;=80000),"mid",P109&gt;80000,"high")</f>
        <v>mid</v>
      </c>
      <c r="T109" s="15" t="str">
        <f t="shared" si="4"/>
        <v>No WFH</v>
      </c>
      <c r="U109" s="15" t="str">
        <f t="shared" si="5"/>
        <v>work from home</v>
      </c>
      <c r="V109" s="19" cm="1">
        <f t="array" ref="V109" xml:space="preserve"> _xlfn.IFS(N109="Very Good",15%,N109="Good",12%,N109="average",10%,TRUE,0)</f>
        <v>0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v xml:space="preserve"> Go</v>
      </c>
      <c r="R110" s="18">
        <f t="shared" si="3"/>
        <v>0</v>
      </c>
      <c r="S110" s="15" t="str" cm="1">
        <f t="array" ref="S110">_xlfn.IFS(P110&lt;=40000,"Low",AND(P110&gt;41000,P110&lt;=80000),"mid",P110&gt;80000,"high")</f>
        <v>high</v>
      </c>
      <c r="T110" s="15" t="str">
        <f t="shared" si="4"/>
        <v>No WFH</v>
      </c>
      <c r="U110" s="15" t="str">
        <f t="shared" si="5"/>
        <v>NoWFH</v>
      </c>
      <c r="V110" s="19" cm="1">
        <f t="array" ref="V110" xml:space="preserve"> _xlfn.IFS(N110="Very Good",15%,N110="Good",12%,N110="average",10%,TRUE,0)</f>
        <v>0.12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v xml:space="preserve"> Go</v>
      </c>
      <c r="R111" s="18">
        <f t="shared" si="3"/>
        <v>0</v>
      </c>
      <c r="S111" s="15" t="str" cm="1">
        <f t="array" ref="S111">_xlfn.IFS(P111&lt;=40000,"Low",AND(P111&gt;41000,P111&lt;=80000),"mid",P111&gt;80000,"high")</f>
        <v>Low</v>
      </c>
      <c r="T111" s="15" t="str">
        <f t="shared" si="4"/>
        <v>No WFH</v>
      </c>
      <c r="U111" s="15" t="str">
        <f t="shared" si="5"/>
        <v>work from home</v>
      </c>
      <c r="V111" s="19" cm="1">
        <f t="array" ref="V111" xml:space="preserve"> _xlfn.IFS(N111="Very Good",15%,N111="Good",12%,N111="average",10%,TRUE,0)</f>
        <v>0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v xml:space="preserve"> Go</v>
      </c>
      <c r="R112" s="18">
        <f t="shared" si="3"/>
        <v>0</v>
      </c>
      <c r="S112" s="15" t="str" cm="1">
        <f t="array" ref="S112">_xlfn.IFS(P112&lt;=40000,"Low",AND(P112&gt;41000,P112&lt;=80000),"mid",P112&gt;80000,"high")</f>
        <v>mid</v>
      </c>
      <c r="T112" s="15" t="str">
        <f t="shared" si="4"/>
        <v>No WFH</v>
      </c>
      <c r="U112" s="15" t="str">
        <f t="shared" si="5"/>
        <v>NoWFH</v>
      </c>
      <c r="V112" s="19" cm="1">
        <f t="array" ref="V112" xml:space="preserve"> _xlfn.IFS(N112="Very Good",15%,N112="Good",12%,N112="average",10%,TRUE,0)</f>
        <v>0.12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v xml:space="preserve"> Go</v>
      </c>
      <c r="R113" s="18">
        <f t="shared" si="3"/>
        <v>4398.9030000000002</v>
      </c>
      <c r="S113" s="15" t="str" cm="1">
        <f t="array" ref="S113">_xlfn.IFS(P113&lt;=40000,"Low",AND(P113&gt;41000,P113&lt;=80000),"mid",P113&gt;80000,"high")</f>
        <v>high</v>
      </c>
      <c r="T113" s="15" t="str">
        <f t="shared" si="4"/>
        <v>No WFH</v>
      </c>
      <c r="U113" s="15" t="str">
        <f t="shared" si="5"/>
        <v>NoWFH</v>
      </c>
      <c r="V113" s="19" cm="1">
        <f t="array" ref="V113" xml:space="preserve"> _xlfn.IFS(N113="Very Good",15%,N113="Good",12%,N113="average",10%,TRUE,0)</f>
        <v>0.15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v xml:space="preserve"> Go</v>
      </c>
      <c r="R114" s="18">
        <f t="shared" si="3"/>
        <v>0</v>
      </c>
      <c r="S114" s="15" t="str" cm="1">
        <f t="array" ref="S114">_xlfn.IFS(P114&lt;=40000,"Low",AND(P114&gt;41000,P114&lt;=80000),"mid",P114&gt;80000,"high")</f>
        <v>high</v>
      </c>
      <c r="T114" s="15" t="str">
        <f t="shared" si="4"/>
        <v>No WFH</v>
      </c>
      <c r="U114" s="15" t="str">
        <f t="shared" si="5"/>
        <v>NoWFH</v>
      </c>
      <c r="V114" s="19" cm="1">
        <f t="array" ref="V114" xml:space="preserve"> _xlfn.IFS(N114="Very Good",15%,N114="Good",12%,N114="average",10%,TRUE,0)</f>
        <v>0.1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v xml:space="preserve"> Go</v>
      </c>
      <c r="R115" s="18">
        <f t="shared" si="3"/>
        <v>5393.25</v>
      </c>
      <c r="S115" s="15" t="str" cm="1">
        <f t="array" ref="S115">_xlfn.IFS(P115&lt;=40000,"Low",AND(P115&gt;41000,P115&lt;=80000),"mid",P115&gt;80000,"high")</f>
        <v>high</v>
      </c>
      <c r="T115" s="15" t="str">
        <f t="shared" si="4"/>
        <v>No WFH</v>
      </c>
      <c r="U115" s="15" t="str">
        <f t="shared" si="5"/>
        <v>NoWFH</v>
      </c>
      <c r="V115" s="19" cm="1">
        <f t="array" ref="V115" xml:space="preserve"> _xlfn.IFS(N115="Very Good",15%,N115="Good",12%,N115="average",10%,TRUE,0)</f>
        <v>0.15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v xml:space="preserve"> Go</v>
      </c>
      <c r="R116" s="18">
        <f t="shared" si="3"/>
        <v>0</v>
      </c>
      <c r="S116" s="15" t="str" cm="1">
        <f t="array" ref="S116">_xlfn.IFS(P116&lt;=40000,"Low",AND(P116&gt;41000,P116&lt;=80000),"mid",P116&gt;80000,"high")</f>
        <v>Low</v>
      </c>
      <c r="T116" s="15" t="str">
        <f t="shared" si="4"/>
        <v>No WFH</v>
      </c>
      <c r="U116" s="15" t="str">
        <f t="shared" si="5"/>
        <v>work from home</v>
      </c>
      <c r="V116" s="19" cm="1">
        <f t="array" ref="V116" xml:space="preserve"> _xlfn.IFS(N116="Very Good",15%,N116="Good",12%,N116="average",10%,TRUE,0)</f>
        <v>0.1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v xml:space="preserve"> Go</v>
      </c>
      <c r="R117" s="18">
        <f t="shared" si="3"/>
        <v>0</v>
      </c>
      <c r="S117" s="15" t="str" cm="1">
        <f t="array" ref="S117">_xlfn.IFS(P117&lt;=40000,"Low",AND(P117&gt;41000,P117&lt;=80000),"mid",P117&gt;80000,"high")</f>
        <v>high</v>
      </c>
      <c r="T117" s="15" t="str">
        <f t="shared" si="4"/>
        <v>No WFH</v>
      </c>
      <c r="U117" s="15" t="str">
        <f t="shared" si="5"/>
        <v>NoWFH</v>
      </c>
      <c r="V117" s="19" cm="1">
        <f t="array" ref="V117" xml:space="preserve"> _xlfn.IFS(N117="Very Good",15%,N117="Good",12%,N117="average",10%,TRUE,0)</f>
        <v>0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v xml:space="preserve"> Go</v>
      </c>
      <c r="R118" s="18">
        <f t="shared" si="3"/>
        <v>6618.4740000000011</v>
      </c>
      <c r="S118" s="15" t="str" cm="1">
        <f t="array" ref="S118">_xlfn.IFS(P118&lt;=40000,"Low",AND(P118&gt;41000,P118&lt;=80000),"mid",P118&gt;80000,"high")</f>
        <v>high</v>
      </c>
      <c r="T118" s="15" t="str">
        <f t="shared" si="4"/>
        <v>No WFH</v>
      </c>
      <c r="U118" s="15" t="str">
        <f t="shared" si="5"/>
        <v>NoWFH</v>
      </c>
      <c r="V118" s="19" cm="1">
        <f t="array" ref="V118" xml:space="preserve"> _xlfn.IFS(N118="Very Good",15%,N118="Good",12%,N118="average",10%,TRUE,0)</f>
        <v>0.15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v>Terminated</v>
      </c>
      <c r="R119" s="18">
        <f t="shared" si="3"/>
        <v>0</v>
      </c>
      <c r="S119" s="15" t="str" cm="1">
        <f t="array" ref="S119">_xlfn.IFS(P119&lt;=40000,"Low",AND(P119&gt;41000,P119&lt;=80000),"mid",P119&gt;80000,"high")</f>
        <v>high</v>
      </c>
      <c r="T119" s="15" t="str">
        <f t="shared" si="4"/>
        <v>No WFH</v>
      </c>
      <c r="U119" s="15" t="str">
        <f t="shared" si="5"/>
        <v>work from home</v>
      </c>
      <c r="V119" s="19" cm="1">
        <f t="array" ref="V119" xml:space="preserve"> _xlfn.IFS(N119="Very Good",15%,N119="Good",12%,N119="average",10%,TRUE,0)</f>
        <v>0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v xml:space="preserve"> Go</v>
      </c>
      <c r="R120" s="18">
        <f t="shared" si="3"/>
        <v>0</v>
      </c>
      <c r="S120" s="15" t="str" cm="1">
        <f t="array" ref="S120">_xlfn.IFS(P120&lt;=40000,"Low",AND(P120&gt;41000,P120&lt;=80000),"mid",P120&gt;80000,"high")</f>
        <v>mid</v>
      </c>
      <c r="T120" s="15" t="str">
        <f t="shared" si="4"/>
        <v>No WFH</v>
      </c>
      <c r="U120" s="15" t="str">
        <f t="shared" si="5"/>
        <v>NoWFH</v>
      </c>
      <c r="V120" s="19" cm="1">
        <f t="array" ref="V120" xml:space="preserve"> _xlfn.IFS(N120="Very Good",15%,N120="Good",12%,N120="average",10%,TRUE,0)</f>
        <v>0.1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v xml:space="preserve"> Go</v>
      </c>
      <c r="R121" s="18">
        <f t="shared" si="3"/>
        <v>0</v>
      </c>
      <c r="S121" s="15" t="str" cm="1">
        <f t="array" ref="S121">_xlfn.IFS(P121&lt;=40000,"Low",AND(P121&gt;41000,P121&lt;=80000),"mid",P121&gt;80000,"high")</f>
        <v>Low</v>
      </c>
      <c r="T121" s="15" t="str">
        <f t="shared" si="4"/>
        <v>No WFH</v>
      </c>
      <c r="U121" s="15" t="str">
        <f t="shared" si="5"/>
        <v>work from home</v>
      </c>
      <c r="V121" s="19" cm="1">
        <f t="array" ref="V121" xml:space="preserve"> _xlfn.IFS(N121="Very Good",15%,N121="Good",12%,N121="average",10%,TRUE,0)</f>
        <v>0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v xml:space="preserve"> Go</v>
      </c>
      <c r="R122" s="18">
        <f t="shared" si="3"/>
        <v>0</v>
      </c>
      <c r="S122" s="15" t="str" cm="1">
        <f t="array" ref="S122">_xlfn.IFS(P122&lt;=40000,"Low",AND(P122&gt;41000,P122&lt;=80000),"mid",P122&gt;80000,"high")</f>
        <v>high</v>
      </c>
      <c r="T122" s="15" t="str">
        <f t="shared" si="4"/>
        <v>No WFH</v>
      </c>
      <c r="U122" s="15" t="str">
        <f t="shared" si="5"/>
        <v>work from home</v>
      </c>
      <c r="V122" s="19" cm="1">
        <f t="array" ref="V122" xml:space="preserve"> _xlfn.IFS(N122="Very Good",15%,N122="Good",12%,N122="average",10%,TRUE,0)</f>
        <v>0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v>Terminated</v>
      </c>
      <c r="R123" s="18">
        <f t="shared" si="3"/>
        <v>0</v>
      </c>
      <c r="S123" s="15" t="str" cm="1">
        <f t="array" ref="S123">_xlfn.IFS(P123&lt;=40000,"Low",AND(P123&gt;41000,P123&lt;=80000),"mid",P123&gt;80000,"high")</f>
        <v>high</v>
      </c>
      <c r="T123" s="15" t="str">
        <f t="shared" si="4"/>
        <v>No WFH</v>
      </c>
      <c r="U123" s="15" t="str">
        <f t="shared" si="5"/>
        <v>NoWFH</v>
      </c>
      <c r="V123" s="19" cm="1">
        <f t="array" ref="V123" xml:space="preserve"> _xlfn.IFS(N123="Very Good",15%,N123="Good",12%,N123="average",10%,TRUE,0)</f>
        <v>0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v xml:space="preserve"> Go</v>
      </c>
      <c r="R124" s="18">
        <f t="shared" si="3"/>
        <v>0</v>
      </c>
      <c r="S124" s="15" t="str" cm="1">
        <f t="array" ref="S124">_xlfn.IFS(P124&lt;=40000,"Low",AND(P124&gt;41000,P124&lt;=80000),"mid",P124&gt;80000,"high")</f>
        <v>high</v>
      </c>
      <c r="T124" s="15" t="str">
        <f t="shared" si="4"/>
        <v>No WFH</v>
      </c>
      <c r="U124" s="15" t="str">
        <f t="shared" si="5"/>
        <v>NoWFH</v>
      </c>
      <c r="V124" s="19" cm="1">
        <f t="array" ref="V124" xml:space="preserve"> _xlfn.IFS(N124="Very Good",15%,N124="Good",12%,N124="average",10%,TRUE,0)</f>
        <v>0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v xml:space="preserve"> Go</v>
      </c>
      <c r="R125" s="18">
        <f t="shared" si="3"/>
        <v>0</v>
      </c>
      <c r="S125" s="15" t="str" cm="1">
        <f t="array" ref="S125">_xlfn.IFS(P125&lt;=40000,"Low",AND(P125&gt;41000,P125&lt;=80000),"mid",P125&gt;80000,"high")</f>
        <v>Low</v>
      </c>
      <c r="T125" s="15" t="str">
        <f t="shared" si="4"/>
        <v>No WFH</v>
      </c>
      <c r="U125" s="15" t="str">
        <f t="shared" si="5"/>
        <v>work from home</v>
      </c>
      <c r="V125" s="19" cm="1">
        <f t="array" ref="V125" xml:space="preserve"> _xlfn.IFS(N125="Very Good",15%,N125="Good",12%,N125="average",10%,TRUE,0)</f>
        <v>0.1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v xml:space="preserve"> Go</v>
      </c>
      <c r="R126" s="18">
        <f t="shared" si="3"/>
        <v>0</v>
      </c>
      <c r="S126" s="15" t="str" cm="1">
        <f t="array" ref="S126">_xlfn.IFS(P126&lt;=40000,"Low",AND(P126&gt;41000,P126&lt;=80000),"mid",P126&gt;80000,"high")</f>
        <v>mid</v>
      </c>
      <c r="T126" s="15" t="str">
        <f t="shared" si="4"/>
        <v>No WFH</v>
      </c>
      <c r="U126" s="15" t="str">
        <f t="shared" si="5"/>
        <v>NoWFH</v>
      </c>
      <c r="V126" s="19" cm="1">
        <f t="array" ref="V126" xml:space="preserve"> _xlfn.IFS(N126="Very Good",15%,N126="Good",12%,N126="average",10%,TRUE,0)</f>
        <v>0.1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v xml:space="preserve"> Go</v>
      </c>
      <c r="R127" s="18">
        <f t="shared" si="3"/>
        <v>0</v>
      </c>
      <c r="S127" s="15" t="str" cm="1">
        <f t="array" ref="S127">_xlfn.IFS(P127&lt;=40000,"Low",AND(P127&gt;41000,P127&lt;=80000),"mid",P127&gt;80000,"high")</f>
        <v>mid</v>
      </c>
      <c r="T127" s="15" t="str">
        <f t="shared" si="4"/>
        <v>No WFH</v>
      </c>
      <c r="U127" s="15" t="str">
        <f t="shared" si="5"/>
        <v>NoWFH</v>
      </c>
      <c r="V127" s="19" cm="1">
        <f t="array" ref="V127" xml:space="preserve"> _xlfn.IFS(N127="Very Good",15%,N127="Good",12%,N127="average",10%,TRUE,0)</f>
        <v>0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v xml:space="preserve"> Go</v>
      </c>
      <c r="R128" s="18">
        <f t="shared" si="3"/>
        <v>0</v>
      </c>
      <c r="S128" s="15" t="str" cm="1">
        <f t="array" ref="S128">_xlfn.IFS(P128&lt;=40000,"Low",AND(P128&gt;41000,P128&lt;=80000),"mid",P128&gt;80000,"high")</f>
        <v>high</v>
      </c>
      <c r="T128" s="15" t="str">
        <f t="shared" si="4"/>
        <v>No WFH</v>
      </c>
      <c r="U128" s="15" t="str">
        <f t="shared" si="5"/>
        <v>work from home</v>
      </c>
      <c r="V128" s="19" cm="1">
        <f t="array" ref="V128" xml:space="preserve"> _xlfn.IFS(N128="Very Good",15%,N128="Good",12%,N128="average",10%,TRUE,0)</f>
        <v>0.1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v xml:space="preserve"> Go</v>
      </c>
      <c r="R129" s="18">
        <f t="shared" si="3"/>
        <v>0</v>
      </c>
      <c r="S129" s="15" t="str" cm="1">
        <f t="array" ref="S129">_xlfn.IFS(P129&lt;=40000,"Low",AND(P129&gt;41000,P129&lt;=80000),"mid",P129&gt;80000,"high")</f>
        <v>high</v>
      </c>
      <c r="T129" s="15" t="str">
        <f t="shared" si="4"/>
        <v>No WFH</v>
      </c>
      <c r="U129" s="15" t="str">
        <f t="shared" si="5"/>
        <v>NoWFH</v>
      </c>
      <c r="V129" s="19" cm="1">
        <f t="array" ref="V129" xml:space="preserve"> _xlfn.IFS(N129="Very Good",15%,N129="Good",12%,N129="average",10%,TRUE,0)</f>
        <v>0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v xml:space="preserve"> Go</v>
      </c>
      <c r="R130" s="18">
        <f t="shared" si="3"/>
        <v>0</v>
      </c>
      <c r="S130" s="15" t="str" cm="1">
        <f t="array" ref="S130">_xlfn.IFS(P130&lt;=40000,"Low",AND(P130&gt;41000,P130&lt;=80000),"mid",P130&gt;80000,"high")</f>
        <v>mid</v>
      </c>
      <c r="T130" s="15" t="str">
        <f t="shared" si="4"/>
        <v>work from home</v>
      </c>
      <c r="U130" s="15" t="str">
        <f t="shared" si="5"/>
        <v>work from home</v>
      </c>
      <c r="V130" s="19" cm="1">
        <f t="array" ref="V130" xml:space="preserve"> _xlfn.IFS(N130="Very Good",15%,N130="Good",12%,N130="average",10%,TRUE,0)</f>
        <v>0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v>Terminated</v>
      </c>
      <c r="R131" s="18">
        <f t="shared" si="3"/>
        <v>0</v>
      </c>
      <c r="S131" s="15" t="str" cm="1">
        <f t="array" ref="S131">_xlfn.IFS(P131&lt;=40000,"Low",AND(P131&gt;41000,P131&lt;=80000),"mid",P131&gt;80000,"high")</f>
        <v>high</v>
      </c>
      <c r="T131" s="15" t="str">
        <f t="shared" si="4"/>
        <v>No WFH</v>
      </c>
      <c r="U131" s="15" t="str">
        <f t="shared" si="5"/>
        <v>work from home</v>
      </c>
      <c r="V131" s="19" cm="1">
        <f t="array" ref="V131" xml:space="preserve"> _xlfn.IFS(N131="Very Good",15%,N131="Good",12%,N131="average",10%,TRUE,0)</f>
        <v>0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v xml:space="preserve"> Go</v>
      </c>
      <c r="R132" s="18">
        <f t="shared" si="3"/>
        <v>0</v>
      </c>
      <c r="S132" s="15" t="str" cm="1">
        <f t="array" ref="S132">_xlfn.IFS(P132&lt;=40000,"Low",AND(P132&gt;41000,P132&lt;=80000),"mid",P132&gt;80000,"high")</f>
        <v>Low</v>
      </c>
      <c r="T132" s="15" t="str">
        <f t="shared" si="4"/>
        <v>No WFH</v>
      </c>
      <c r="U132" s="15" t="str">
        <f t="shared" si="5"/>
        <v>NoWFH</v>
      </c>
      <c r="V132" s="19" cm="1">
        <f t="array" ref="V132" xml:space="preserve"> _xlfn.IFS(N132="Very Good",15%,N132="Good",12%,N132="average",10%,TRUE,0)</f>
        <v>0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v xml:space="preserve"> Go</v>
      </c>
      <c r="R133" s="18">
        <f t="shared" ref="R133:R149" si="6">IF(N133="very good",P133*5%,0)</f>
        <v>0</v>
      </c>
      <c r="S133" s="15" t="str" cm="1">
        <f t="array" ref="S133">_xlfn.IFS(P133&lt;=40000,"Low",AND(P133&gt;41000,P133&lt;=80000),"mid",P133&gt;80000,"high")</f>
        <v>mid</v>
      </c>
      <c r="T133" s="15" t="str">
        <f t="shared" ref="T133:T149" si="7">IF(AND(L133="HR",I133="Mumbai"),"work from home","No WFH")</f>
        <v>No WFH</v>
      </c>
      <c r="U133" s="15" t="str">
        <f t="shared" ref="U133:U149" si="8">IF(OR(L133="finance",L133="Hr"),"work from home","NoWFH")</f>
        <v>NoWFH</v>
      </c>
      <c r="V133" s="19" cm="1">
        <f t="array" ref="V133" xml:space="preserve"> _xlfn.IFS(N133="Very Good",15%,N133="Good",12%,N133="average",10%,TRUE,0)</f>
        <v>0.12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v xml:space="preserve"> Go</v>
      </c>
      <c r="R134" s="18">
        <f t="shared" si="6"/>
        <v>0</v>
      </c>
      <c r="S134" s="15" t="str" cm="1">
        <f t="array" ref="S134">_xlfn.IFS(P134&lt;=40000,"Low",AND(P134&gt;41000,P134&lt;=80000),"mid",P134&gt;80000,"high")</f>
        <v>mid</v>
      </c>
      <c r="T134" s="15" t="str">
        <f t="shared" si="7"/>
        <v>No WFH</v>
      </c>
      <c r="U134" s="15" t="str">
        <f t="shared" si="8"/>
        <v>NoWFH</v>
      </c>
      <c r="V134" s="19" cm="1">
        <f t="array" ref="V134" xml:space="preserve"> _xlfn.IFS(N134="Very Good",15%,N134="Good",12%,N134="average",10%,TRUE,0)</f>
        <v>0.1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v xml:space="preserve"> Go</v>
      </c>
      <c r="R135" s="18">
        <f t="shared" si="6"/>
        <v>0</v>
      </c>
      <c r="S135" s="15" t="str" cm="1">
        <f t="array" ref="S135">_xlfn.IFS(P135&lt;=40000,"Low",AND(P135&gt;41000,P135&lt;=80000),"mid",P135&gt;80000,"high")</f>
        <v>mid</v>
      </c>
      <c r="T135" s="15" t="str">
        <f t="shared" si="7"/>
        <v>No WFH</v>
      </c>
      <c r="U135" s="15" t="str">
        <f t="shared" si="8"/>
        <v>work from home</v>
      </c>
      <c r="V135" s="19" cm="1">
        <f t="array" ref="V135" xml:space="preserve"> _xlfn.IFS(N135="Very Good",15%,N135="Good",12%,N135="average",10%,TRUE,0)</f>
        <v>0.1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v xml:space="preserve"> Go</v>
      </c>
      <c r="R136" s="18">
        <f t="shared" si="6"/>
        <v>2767.1580000000004</v>
      </c>
      <c r="S136" s="15" t="str" cm="1">
        <f t="array" ref="S136">_xlfn.IFS(P136&lt;=40000,"Low",AND(P136&gt;41000,P136&lt;=80000),"mid",P136&gt;80000,"high")</f>
        <v>mid</v>
      </c>
      <c r="T136" s="15" t="str">
        <f t="shared" si="7"/>
        <v>No WFH</v>
      </c>
      <c r="U136" s="15" t="str">
        <f t="shared" si="8"/>
        <v>work from home</v>
      </c>
      <c r="V136" s="19" cm="1">
        <f t="array" ref="V136" xml:space="preserve"> _xlfn.IFS(N136="Very Good",15%,N136="Good",12%,N136="average",10%,TRUE,0)</f>
        <v>0.15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v xml:space="preserve"> Go</v>
      </c>
      <c r="R137" s="18">
        <f t="shared" si="6"/>
        <v>5416.0469999999996</v>
      </c>
      <c r="S137" s="15" t="str" cm="1">
        <f t="array" ref="S137">_xlfn.IFS(P137&lt;=40000,"Low",AND(P137&gt;41000,P137&lt;=80000),"mid",P137&gt;80000,"high")</f>
        <v>high</v>
      </c>
      <c r="T137" s="15" t="str">
        <f t="shared" si="7"/>
        <v>No WFH</v>
      </c>
      <c r="U137" s="15" t="str">
        <f t="shared" si="8"/>
        <v>NoWFH</v>
      </c>
      <c r="V137" s="19" cm="1">
        <f t="array" ref="V137" xml:space="preserve"> _xlfn.IFS(N137="Very Good",15%,N137="Good",12%,N137="average",10%,TRUE,0)</f>
        <v>0.15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v xml:space="preserve"> Go</v>
      </c>
      <c r="R138" s="18">
        <f t="shared" si="6"/>
        <v>0</v>
      </c>
      <c r="S138" s="15" t="str" cm="1">
        <f t="array" ref="S138">_xlfn.IFS(P138&lt;=40000,"Low",AND(P138&gt;41000,P138&lt;=80000),"mid",P138&gt;80000,"high")</f>
        <v>high</v>
      </c>
      <c r="T138" s="15" t="str">
        <f t="shared" si="7"/>
        <v>No WFH</v>
      </c>
      <c r="U138" s="15" t="str">
        <f t="shared" si="8"/>
        <v>work from home</v>
      </c>
      <c r="V138" s="19" cm="1">
        <f t="array" ref="V138" xml:space="preserve"> _xlfn.IFS(N138="Very Good",15%,N138="Good",12%,N138="average",10%,TRUE,0)</f>
        <v>0.12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v xml:space="preserve"> Go</v>
      </c>
      <c r="R139" s="18">
        <f t="shared" si="6"/>
        <v>0</v>
      </c>
      <c r="S139" s="15" t="str" cm="1">
        <f t="array" ref="S139">_xlfn.IFS(P139&lt;=40000,"Low",AND(P139&gt;41000,P139&lt;=80000),"mid",P139&gt;80000,"high")</f>
        <v>Low</v>
      </c>
      <c r="T139" s="15" t="str">
        <f t="shared" si="7"/>
        <v>No WFH</v>
      </c>
      <c r="U139" s="15" t="str">
        <f t="shared" si="8"/>
        <v>NoWFH</v>
      </c>
      <c r="V139" s="19" cm="1">
        <f t="array" ref="V139" xml:space="preserve"> _xlfn.IFS(N139="Very Good",15%,N139="Good",12%,N139="average",10%,TRUE,0)</f>
        <v>0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v xml:space="preserve"> Go</v>
      </c>
      <c r="R140" s="18">
        <f t="shared" si="6"/>
        <v>0</v>
      </c>
      <c r="S140" s="15" t="str" cm="1">
        <f t="array" ref="S140">_xlfn.IFS(P140&lt;=40000,"Low",AND(P140&gt;41000,P140&lt;=80000),"mid",P140&gt;80000,"high")</f>
        <v>high</v>
      </c>
      <c r="T140" s="15" t="str">
        <f t="shared" si="7"/>
        <v>No WFH</v>
      </c>
      <c r="U140" s="15" t="str">
        <f t="shared" si="8"/>
        <v>NoWFH</v>
      </c>
      <c r="V140" s="19" cm="1">
        <f t="array" ref="V140" xml:space="preserve"> _xlfn.IFS(N140="Very Good",15%,N140="Good",12%,N140="average",10%,TRUE,0)</f>
        <v>0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v xml:space="preserve"> Go</v>
      </c>
      <c r="R141" s="18">
        <f t="shared" si="6"/>
        <v>0</v>
      </c>
      <c r="S141" s="15" t="str" cm="1">
        <f t="array" ref="S141">_xlfn.IFS(P141&lt;=40000,"Low",AND(P141&gt;41000,P141&lt;=80000),"mid",P141&gt;80000,"high")</f>
        <v>high</v>
      </c>
      <c r="T141" s="15" t="str">
        <f t="shared" si="7"/>
        <v>No WFH</v>
      </c>
      <c r="U141" s="15" t="str">
        <f t="shared" si="8"/>
        <v>work from home</v>
      </c>
      <c r="V141" s="19" cm="1">
        <f t="array" ref="V141" xml:space="preserve"> _xlfn.IFS(N141="Very Good",15%,N141="Good",12%,N141="average",10%,TRUE,0)</f>
        <v>0.12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v xml:space="preserve"> Go</v>
      </c>
      <c r="R142" s="18">
        <f t="shared" si="6"/>
        <v>0</v>
      </c>
      <c r="S142" s="15" t="str" cm="1">
        <f t="array" ref="S142">_xlfn.IFS(P142&lt;=40000,"Low",AND(P142&gt;41000,P142&lt;=80000),"mid",P142&gt;80000,"high")</f>
        <v>high</v>
      </c>
      <c r="T142" s="15" t="str">
        <f t="shared" si="7"/>
        <v>No WFH</v>
      </c>
      <c r="U142" s="15" t="str">
        <f t="shared" si="8"/>
        <v>NoWFH</v>
      </c>
      <c r="V142" s="19" cm="1">
        <f t="array" ref="V142" xml:space="preserve"> _xlfn.IFS(N142="Very Good",15%,N142="Good",12%,N142="average",10%,TRUE,0)</f>
        <v>0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v>Terminated</v>
      </c>
      <c r="R143" s="18">
        <f t="shared" si="6"/>
        <v>0</v>
      </c>
      <c r="S143" s="15" t="str" cm="1">
        <f t="array" ref="S143">_xlfn.IFS(P143&lt;=40000,"Low",AND(P143&gt;41000,P143&lt;=80000),"mid",P143&gt;80000,"high")</f>
        <v>mid</v>
      </c>
      <c r="T143" s="15" t="str">
        <f t="shared" si="7"/>
        <v>No WFH</v>
      </c>
      <c r="U143" s="15" t="str">
        <f t="shared" si="8"/>
        <v>NoWFH</v>
      </c>
      <c r="V143" s="19" cm="1">
        <f t="array" ref="V143" xml:space="preserve"> _xlfn.IFS(N143="Very Good",15%,N143="Good",12%,N143="average",10%,TRUE,0)</f>
        <v>0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v xml:space="preserve"> Go</v>
      </c>
      <c r="R144" s="18">
        <f t="shared" si="6"/>
        <v>6622.2225000000008</v>
      </c>
      <c r="S144" s="15" t="str" cm="1">
        <f t="array" ref="S144">_xlfn.IFS(P144&lt;=40000,"Low",AND(P144&gt;41000,P144&lt;=80000),"mid",P144&gt;80000,"high")</f>
        <v>high</v>
      </c>
      <c r="T144" s="15" t="str">
        <f t="shared" si="7"/>
        <v>No WFH</v>
      </c>
      <c r="U144" s="15" t="str">
        <f t="shared" si="8"/>
        <v>NoWFH</v>
      </c>
      <c r="V144" s="19" cm="1">
        <f t="array" ref="V144" xml:space="preserve"> _xlfn.IFS(N144="Very Good",15%,N144="Good",12%,N144="average",10%,TRUE,0)</f>
        <v>0.15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v xml:space="preserve"> Go</v>
      </c>
      <c r="R145" s="18">
        <f t="shared" si="6"/>
        <v>0</v>
      </c>
      <c r="S145" s="15" t="str" cm="1">
        <f t="array" ref="S145">_xlfn.IFS(P145&lt;=40000,"Low",AND(P145&gt;41000,P145&lt;=80000),"mid",P145&gt;80000,"high")</f>
        <v>high</v>
      </c>
      <c r="T145" s="15" t="str">
        <f t="shared" si="7"/>
        <v>No WFH</v>
      </c>
      <c r="U145" s="15" t="str">
        <f t="shared" si="8"/>
        <v>NoWFH</v>
      </c>
      <c r="V145" s="19" cm="1">
        <f t="array" ref="V145" xml:space="preserve"> _xlfn.IFS(N145="Very Good",15%,N145="Good",12%,N145="average",10%,TRUE,0)</f>
        <v>0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v xml:space="preserve"> Go</v>
      </c>
      <c r="R146" s="18">
        <f t="shared" si="6"/>
        <v>0</v>
      </c>
      <c r="S146" s="15" t="str" cm="1">
        <f t="array" ref="S146">_xlfn.IFS(P146&lt;=40000,"Low",AND(P146&gt;41000,P146&lt;=80000),"mid",P146&gt;80000,"high")</f>
        <v>mid</v>
      </c>
      <c r="T146" s="15" t="str">
        <f t="shared" si="7"/>
        <v>No WFH</v>
      </c>
      <c r="U146" s="15" t="str">
        <f t="shared" si="8"/>
        <v>work from home</v>
      </c>
      <c r="V146" s="19" cm="1">
        <f t="array" ref="V146" xml:space="preserve"> _xlfn.IFS(N146="Very Good",15%,N146="Good",12%,N146="average",10%,TRUE,0)</f>
        <v>0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v xml:space="preserve"> Go</v>
      </c>
      <c r="R147" s="18">
        <f t="shared" si="6"/>
        <v>0</v>
      </c>
      <c r="S147" s="15" t="str" cm="1">
        <f t="array" ref="S147">_xlfn.IFS(P147&lt;=40000,"Low",AND(P147&gt;41000,P147&lt;=80000),"mid",P147&gt;80000,"high")</f>
        <v>Low</v>
      </c>
      <c r="T147" s="15" t="str">
        <f t="shared" si="7"/>
        <v>No WFH</v>
      </c>
      <c r="U147" s="15" t="str">
        <f t="shared" si="8"/>
        <v>NoWFH</v>
      </c>
      <c r="V147" s="19" cm="1">
        <f t="array" ref="V147" xml:space="preserve"> _xlfn.IFS(N147="Very Good",15%,N147="Good",12%,N147="average",10%,TRUE,0)</f>
        <v>0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v xml:space="preserve"> Go</v>
      </c>
      <c r="R148" s="18">
        <f t="shared" si="6"/>
        <v>0</v>
      </c>
      <c r="S148" s="15" t="str" cm="1">
        <f t="array" ref="S148">_xlfn.IFS(P148&lt;=40000,"Low",AND(P148&gt;41000,P148&lt;=80000),"mid",P148&gt;80000,"high")</f>
        <v>high</v>
      </c>
      <c r="T148" s="15" t="str">
        <f t="shared" si="7"/>
        <v>No WFH</v>
      </c>
      <c r="U148" s="15" t="str">
        <f t="shared" si="8"/>
        <v>work from home</v>
      </c>
      <c r="V148" s="19" cm="1">
        <f t="array" ref="V148" xml:space="preserve"> _xlfn.IFS(N148="Very Good",15%,N148="Good",12%,N148="average",10%,TRUE,0)</f>
        <v>0.1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v xml:space="preserve"> Go</v>
      </c>
      <c r="R149" s="18">
        <f t="shared" si="6"/>
        <v>0</v>
      </c>
      <c r="S149" s="15" t="str" cm="1">
        <f t="array" ref="S149">_xlfn.IFS(P149&lt;=40000,"Low",AND(P149&gt;41000,P149&lt;=80000),"mid",P149&gt;80000,"high")</f>
        <v>high</v>
      </c>
      <c r="T149" s="15" t="str">
        <f t="shared" si="7"/>
        <v>work from home</v>
      </c>
      <c r="U149" s="15" t="str">
        <f t="shared" si="8"/>
        <v>work from home</v>
      </c>
      <c r="V149" s="19" cm="1">
        <f t="array" ref="V149" xml:space="preserve"> _xlfn.IFS(N149="Very Good",15%,N149="Good",12%,N149="average",10%,TRUE,0)</f>
        <v>0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LENOVO</cp:lastModifiedBy>
  <dcterms:created xsi:type="dcterms:W3CDTF">2021-07-08T13:51:18Z</dcterms:created>
  <dcterms:modified xsi:type="dcterms:W3CDTF">2026-08-23T12:39:07Z</dcterms:modified>
</cp:coreProperties>
</file>