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3691415-COACHX_ASSIGNMENTS_1-7\"/>
    </mc:Choice>
  </mc:AlternateContent>
  <xr:revisionPtr revIDLastSave="0" documentId="13_ncr:1_{A1B89E3B-9940-4705-AA5F-B615246F09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9" i="1"/>
  <c r="F28" i="1"/>
  <c r="F27" i="1"/>
  <c r="E29" i="1"/>
  <c r="E28" i="1"/>
  <c r="E27" i="1"/>
  <c r="F25" i="1"/>
  <c r="F24" i="1"/>
  <c r="E25" i="1"/>
  <c r="E24" i="1"/>
  <c r="F23" i="1"/>
  <c r="F20" i="1"/>
  <c r="F21" i="1"/>
  <c r="E23" i="1"/>
  <c r="E22" i="1"/>
  <c r="E21" i="1"/>
  <c r="F19" i="1"/>
  <c r="F18" i="1"/>
  <c r="F17" i="1"/>
  <c r="F16" i="1"/>
  <c r="F15" i="1"/>
  <c r="F14" i="1"/>
  <c r="E20" i="1"/>
  <c r="E19" i="1"/>
  <c r="E18" i="1"/>
  <c r="E17" i="1"/>
  <c r="E16" i="1"/>
  <c r="E15" i="1"/>
  <c r="E14" i="1"/>
  <c r="F12" i="1"/>
  <c r="E12" i="1"/>
  <c r="F11" i="1"/>
  <c r="F10" i="1"/>
  <c r="E11" i="1"/>
  <c r="E10" i="1"/>
  <c r="F9" i="1"/>
  <c r="E9" i="1"/>
  <c r="F8" i="1"/>
  <c r="F7" i="1"/>
  <c r="E8" i="1"/>
  <c r="E7" i="1"/>
  <c r="F29" i="2"/>
  <c r="F23" i="2"/>
  <c r="F15" i="2"/>
  <c r="F14" i="2"/>
  <c r="F9" i="2"/>
  <c r="C29" i="2"/>
  <c r="C28" i="2"/>
  <c r="C22" i="2"/>
  <c r="C15" i="2"/>
  <c r="C10" i="2"/>
  <c r="F25" i="2"/>
  <c r="F26" i="2"/>
  <c r="F27" i="2"/>
  <c r="F28" i="2"/>
  <c r="F22" i="2"/>
  <c r="F21" i="2"/>
  <c r="F20" i="2"/>
  <c r="F19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<sst xmlns="http://schemas.openxmlformats.org/spreadsheetml/2006/main" count="90" uniqueCount="86">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</sst>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</cellStyleXfs>
  <cellXfs count="9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41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41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41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82" zoomScaleNormal="82" workbookViewId="0">
      <selection activeCell="B1" sqref="B1:F1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91"/>
      <c r="C1" s="91"/>
      <c r="D1" s="91"/>
      <c r="E1" s="91"/>
      <c r="F1" s="91"/>
      <c r="G1" s="3"/>
      <c r="K1" t="s">
        <v>2</v>
      </c>
    </row>
    <row r="2" spans="1:11" ht="19.2" thickTop="1" thickBot="1">
      <c r="A2" s="4"/>
      <c r="B2" s="92" t="s">
        <v>32</v>
      </c>
      <c r="C2" s="92"/>
      <c r="D2" s="92"/>
      <c r="E2" s="92"/>
      <c r="F2" s="92"/>
      <c r="G2" s="4"/>
    </row>
    <row r="3" spans="1:11" ht="19.2" thickTop="1" thickBot="1">
      <c r="A3" s="4"/>
      <c r="B3" s="92" t="s">
        <v>30</v>
      </c>
      <c r="C3" s="92"/>
      <c r="D3" s="92"/>
      <c r="E3" s="92"/>
      <c r="F3" s="92"/>
      <c r="G3" s="4"/>
    </row>
    <row r="4" spans="1:11" ht="16.8" thickTop="1" thickBot="1">
      <c r="A4" s="4"/>
      <c r="B4" s="93" t="s">
        <v>1</v>
      </c>
      <c r="C4" s="1">
        <v>2016</v>
      </c>
      <c r="D4" s="2">
        <v>2015</v>
      </c>
      <c r="E4" s="95" t="s">
        <v>31</v>
      </c>
      <c r="F4" s="96"/>
      <c r="G4" s="4"/>
    </row>
    <row r="5" spans="1:11" ht="16.8" thickTop="1" thickBot="1">
      <c r="A5" s="4"/>
      <c r="B5" s="94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29.4" thickTop="1">
      <c r="A7" s="6"/>
      <c r="B7" s="36" t="s">
        <v>6</v>
      </c>
      <c r="C7" s="18">
        <v>13992.15</v>
      </c>
      <c r="D7" s="18">
        <v>12878.8</v>
      </c>
      <c r="E7" s="43">
        <f>C7-D7</f>
        <v>1113.3500000000004</v>
      </c>
      <c r="F7" s="20">
        <f>E7/D7*100</f>
        <v>8.6448271578097362</v>
      </c>
      <c r="G7" s="7"/>
      <c r="I7" s="35"/>
    </row>
    <row r="8" spans="1:11" ht="15" thickBot="1">
      <c r="A8" s="6"/>
      <c r="B8" s="37" t="s">
        <v>7</v>
      </c>
      <c r="C8" s="19">
        <v>1533.5</v>
      </c>
      <c r="D8" s="19">
        <v>1393.13</v>
      </c>
      <c r="E8" s="44">
        <f>C8-D8</f>
        <v>140.36999999999989</v>
      </c>
      <c r="F8" s="21">
        <f>E8/D8*100</f>
        <v>10.075872316294953</v>
      </c>
      <c r="G8" s="7"/>
    </row>
    <row r="9" spans="1:11" ht="30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24">
        <f>C9-D9</f>
        <v>972.98000000000138</v>
      </c>
      <c r="F9" s="22">
        <f>E9/D9*100</f>
        <v>8.4712515682585483</v>
      </c>
      <c r="G9" s="7"/>
    </row>
    <row r="10" spans="1:11" ht="15" thickTop="1">
      <c r="A10" s="6"/>
      <c r="B10" s="36" t="s">
        <v>9</v>
      </c>
      <c r="C10" s="18">
        <v>187.23</v>
      </c>
      <c r="D10" s="18">
        <v>163.16</v>
      </c>
      <c r="E10" s="43">
        <f>C10-D10</f>
        <v>24.069999999999993</v>
      </c>
      <c r="F10" s="20">
        <f>E10/D10*100</f>
        <v>14.752390291738168</v>
      </c>
      <c r="G10" s="7"/>
    </row>
    <row r="11" spans="1:11" ht="15" thickBot="1">
      <c r="A11" s="6"/>
      <c r="B11" s="37" t="s">
        <v>10</v>
      </c>
      <c r="C11" s="25">
        <v>225.3</v>
      </c>
      <c r="D11" s="25">
        <v>186.82</v>
      </c>
      <c r="E11" s="44">
        <f>C11-D11</f>
        <v>38.480000000000018</v>
      </c>
      <c r="F11" s="21">
        <f>E11/D11*100</f>
        <v>20.597366448988343</v>
      </c>
      <c r="G11" s="7"/>
    </row>
    <row r="12" spans="1:11" ht="15.6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>
        <f>C12-D12</f>
        <v>1035.5300000000025</v>
      </c>
      <c r="F12" s="22">
        <f>E12/D12*100</f>
        <v>8.7492448661459452</v>
      </c>
      <c r="G12" s="7"/>
    </row>
    <row r="13" spans="1:11" ht="15.6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" thickTop="1">
      <c r="A14" s="6"/>
      <c r="B14" s="38" t="s">
        <v>11</v>
      </c>
      <c r="C14" s="18">
        <v>5842.29</v>
      </c>
      <c r="D14" s="18">
        <v>6191.72</v>
      </c>
      <c r="E14" s="49">
        <f>C14-D14</f>
        <v>-349.43000000000029</v>
      </c>
      <c r="F14" s="20">
        <f>E14/D14*100</f>
        <v>-5.6435045512394018</v>
      </c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>
        <f>C15-D15</f>
        <v>143.85999999999996</v>
      </c>
      <c r="F15" s="26">
        <f>E15/D15*100</f>
        <v>37.80218625183938</v>
      </c>
      <c r="G15" s="7"/>
    </row>
    <row r="16" spans="1:11" ht="28.8">
      <c r="A16" s="6"/>
      <c r="B16" s="38" t="s">
        <v>29</v>
      </c>
      <c r="C16" s="27">
        <v>162.86000000000001</v>
      </c>
      <c r="D16" s="47">
        <v>-132.43</v>
      </c>
      <c r="E16" s="45">
        <f>C16-D16</f>
        <v>295.29000000000002</v>
      </c>
      <c r="F16" s="26">
        <f>E16/D16*100</f>
        <v>-222.97817715019255</v>
      </c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>
        <f>C17-D17</f>
        <v>57.259999999999991</v>
      </c>
      <c r="F17" s="26">
        <f>E17/D17*100</f>
        <v>9.4342109598971859</v>
      </c>
      <c r="G17" s="7"/>
    </row>
    <row r="18" spans="1:7" ht="15" thickBot="1">
      <c r="A18" s="6"/>
      <c r="B18" s="37" t="s">
        <v>24</v>
      </c>
      <c r="C18" s="19">
        <v>2972.55</v>
      </c>
      <c r="D18" s="19">
        <v>2591.52</v>
      </c>
      <c r="E18" s="44">
        <f>C18-D18</f>
        <v>381.0300000000002</v>
      </c>
      <c r="F18" s="21">
        <f>E18/D18*100</f>
        <v>14.70295425078719</v>
      </c>
      <c r="G18" s="7"/>
    </row>
    <row r="19" spans="1:7" ht="15.6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>
        <f>C19-D19</f>
        <v>528.0099999999984</v>
      </c>
      <c r="F19" s="22">
        <f>E19/D19*100</f>
        <v>5.478242554970719</v>
      </c>
      <c r="G19" s="7"/>
    </row>
    <row r="20" spans="1:7" ht="30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>
        <f>C20-D20</f>
        <v>507.52000000000407</v>
      </c>
      <c r="F20" s="22">
        <f>E20/D20*100</f>
        <v>23.097017302738987</v>
      </c>
      <c r="G20" s="7"/>
    </row>
    <row r="21" spans="1:7" ht="15" thickTop="1">
      <c r="A21" s="6"/>
      <c r="B21" s="36" t="s">
        <v>27</v>
      </c>
      <c r="C21" s="18">
        <v>238.36</v>
      </c>
      <c r="D21" s="18">
        <v>223.11</v>
      </c>
      <c r="E21" s="43">
        <f>C21-D21</f>
        <v>15.25</v>
      </c>
      <c r="F21" s="20">
        <f>E21/D21*100</f>
        <v>6.8351934023575813</v>
      </c>
      <c r="G21" s="7"/>
    </row>
    <row r="22" spans="1:7" ht="15" thickBot="1">
      <c r="A22" s="6"/>
      <c r="B22" s="37" t="s">
        <v>25</v>
      </c>
      <c r="C22" s="19">
        <v>23.4</v>
      </c>
      <c r="D22" s="19">
        <v>27.13</v>
      </c>
      <c r="E22" s="48">
        <f>C22-D22</f>
        <v>-3.7300000000000004</v>
      </c>
      <c r="F22" s="21"/>
      <c r="G22" s="7"/>
    </row>
    <row r="23" spans="1:7" ht="15.6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>
        <f>C23-D23</f>
        <v>496.00000000000387</v>
      </c>
      <c r="F23" s="22">
        <f>E23/D23*100</f>
        <v>25.473781521236955</v>
      </c>
      <c r="G23" s="7"/>
    </row>
    <row r="24" spans="1:7" ht="15.6" thickTop="1" thickBot="1">
      <c r="A24" s="6"/>
      <c r="B24" s="39" t="s">
        <v>28</v>
      </c>
      <c r="C24" s="29">
        <v>65.349999999999994</v>
      </c>
      <c r="D24" s="29">
        <v>13.53</v>
      </c>
      <c r="E24" s="46">
        <f>C24-D24</f>
        <v>51.819999999999993</v>
      </c>
      <c r="F24" s="30">
        <f>E24/D24*100</f>
        <v>383.00073909830002</v>
      </c>
      <c r="G24" s="7"/>
    </row>
    <row r="25" spans="1:7" ht="15.6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>
        <f>C25-D25</f>
        <v>444.18000000000393</v>
      </c>
      <c r="F25" s="22">
        <f>E25/D25*100</f>
        <v>22.97201549465521</v>
      </c>
      <c r="G25" s="7"/>
    </row>
    <row r="26" spans="1:7" ht="15.6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" thickTop="1">
      <c r="A27" s="6"/>
      <c r="B27" s="36" t="s">
        <v>15</v>
      </c>
      <c r="C27" s="18">
        <v>743.74</v>
      </c>
      <c r="D27" s="18">
        <v>616.41999999999996</v>
      </c>
      <c r="E27" s="43">
        <f>C27-D27</f>
        <v>127.32000000000005</v>
      </c>
      <c r="F27" s="20">
        <f>E27/D27*100</f>
        <v>20.654748385840833</v>
      </c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>
        <f>C28-D28</f>
        <v>-2.37</v>
      </c>
      <c r="F28" s="26">
        <f>E28/D28*100</f>
        <v>246.875</v>
      </c>
      <c r="G28" s="7"/>
    </row>
    <row r="29" spans="1:7" ht="15" thickBot="1">
      <c r="A29" s="6"/>
      <c r="B29" s="37" t="s">
        <v>17</v>
      </c>
      <c r="C29" s="19">
        <v>39.909999999999997</v>
      </c>
      <c r="D29" s="48">
        <v>-9.2899999999999991</v>
      </c>
      <c r="E29" s="44">
        <f>C29-D29</f>
        <v>49.199999999999996</v>
      </c>
      <c r="F29" s="21">
        <f>E29/D29*100</f>
        <v>-529.60172228202373</v>
      </c>
      <c r="G29" s="7"/>
    </row>
    <row r="30" spans="1:7" ht="15.6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0">C30-D30</f>
        <v>174.14999999999998</v>
      </c>
      <c r="F30" s="22">
        <f>E30/D30</f>
        <v>0.28729564313641387</v>
      </c>
      <c r="G30" s="7"/>
    </row>
    <row r="31" spans="1:7" ht="15.6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0"/>
        <v>270.03000000000407</v>
      </c>
      <c r="F31" s="22">
        <f t="shared" ref="F30:F31" si="1">E31/D31</f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F30" sqref="F30"/>
    </sheetView>
  </sheetViews>
  <sheetFormatPr defaultRowHeight="14.4"/>
  <cols>
    <col min="1" max="1" width="12.33203125" customWidth="1"/>
    <col min="2" max="2" width="23.88671875" bestFit="1" customWidth="1"/>
    <col min="3" max="3" width="17.6640625" customWidth="1"/>
    <col min="4" max="4" width="21.33203125" customWidth="1"/>
    <col min="5" max="5" width="31" bestFit="1" customWidth="1"/>
    <col min="6" max="6" width="29.88671875" customWidth="1"/>
    <col min="7" max="7" width="7.33203125" customWidth="1"/>
  </cols>
  <sheetData>
    <row r="1" spans="1:7" ht="24" thickTop="1" thickBot="1">
      <c r="A1" s="50"/>
      <c r="B1" s="75" t="s">
        <v>33</v>
      </c>
      <c r="C1" s="76"/>
      <c r="D1" s="76"/>
      <c r="E1" s="76"/>
      <c r="F1" s="77"/>
      <c r="G1" s="50"/>
    </row>
    <row r="2" spans="1:7" ht="24" thickTop="1" thickBot="1">
      <c r="A2" s="50"/>
      <c r="B2" s="75" t="s">
        <v>34</v>
      </c>
      <c r="C2" s="76"/>
      <c r="D2" s="76"/>
      <c r="E2" s="76"/>
      <c r="F2" s="77"/>
      <c r="G2" s="50"/>
    </row>
    <row r="3" spans="1:7" ht="18.600000000000001" thickTop="1" thickBot="1">
      <c r="A3" s="50"/>
      <c r="B3" s="78" t="s">
        <v>35</v>
      </c>
      <c r="C3" s="79"/>
      <c r="D3" s="51"/>
      <c r="E3" s="78" t="s">
        <v>36</v>
      </c>
      <c r="F3" s="79"/>
      <c r="G3" s="50"/>
    </row>
    <row r="4" spans="1:7" ht="15.6" thickTop="1" thickBot="1">
      <c r="A4" s="50"/>
      <c r="B4" s="80" t="s">
        <v>37</v>
      </c>
      <c r="C4" s="81"/>
      <c r="D4" s="51"/>
      <c r="E4" s="82" t="s">
        <v>38</v>
      </c>
      <c r="F4" s="83"/>
      <c r="G4" s="50"/>
    </row>
    <row r="5" spans="1:7" ht="1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5.6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5.6" thickTop="1" thickBot="1">
      <c r="A10" s="50"/>
      <c r="B10" s="60" t="s">
        <v>49</v>
      </c>
      <c r="C10" s="61">
        <f>SUM(C5:C9)</f>
        <v>3253500</v>
      </c>
      <c r="D10" s="51"/>
      <c r="E10" s="82" t="s">
        <v>50</v>
      </c>
      <c r="F10" s="86"/>
      <c r="G10" s="50"/>
    </row>
    <row r="11" spans="1:7" ht="15.6" thickTop="1" thickBot="1">
      <c r="A11" s="50"/>
      <c r="B11" s="87" t="s">
        <v>51</v>
      </c>
      <c r="C11" s="88"/>
      <c r="D11" s="51"/>
      <c r="E11" s="52" t="s">
        <v>52</v>
      </c>
      <c r="F11" s="53">
        <v>400000</v>
      </c>
      <c r="G11" s="50"/>
    </row>
    <row r="12" spans="1:7" ht="1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5.6" thickTop="1" thickBot="1">
      <c r="A14" s="50"/>
      <c r="B14" s="56" t="s">
        <v>57</v>
      </c>
      <c r="C14" s="55">
        <v>0</v>
      </c>
      <c r="D14" s="51"/>
      <c r="E14" s="58" t="s">
        <v>58</v>
      </c>
      <c r="F14" s="59">
        <f>SUM(F11:F13)</f>
        <v>550000</v>
      </c>
      <c r="G14" s="50"/>
    </row>
    <row r="15" spans="1:7" ht="16.8" thickTop="1" thickBot="1">
      <c r="A15" s="50"/>
      <c r="B15" s="60" t="s">
        <v>59</v>
      </c>
      <c r="C15" s="61">
        <f>SUM(C12:C14)</f>
        <v>324000</v>
      </c>
      <c r="D15" s="51"/>
      <c r="E15" s="74" t="s">
        <v>60</v>
      </c>
      <c r="F15" s="62">
        <f>F9+F14</f>
        <v>2343400</v>
      </c>
      <c r="G15" s="50"/>
    </row>
    <row r="16" spans="1:7" ht="24" thickTop="1" thickBot="1">
      <c r="A16" s="50"/>
      <c r="B16" s="80" t="s">
        <v>61</v>
      </c>
      <c r="C16" s="81"/>
      <c r="D16" s="51"/>
      <c r="E16" s="50"/>
      <c r="F16" s="63"/>
      <c r="G16" s="50"/>
    </row>
    <row r="17" spans="1:7" ht="24" thickTop="1" thickBot="1">
      <c r="A17" s="50"/>
      <c r="B17" s="52" t="s">
        <v>62</v>
      </c>
      <c r="C17" s="53">
        <v>2300000</v>
      </c>
      <c r="D17" s="51"/>
      <c r="E17" s="89" t="s">
        <v>63</v>
      </c>
      <c r="F17" s="90"/>
      <c r="G17" s="50"/>
    </row>
    <row r="18" spans="1:7" ht="15.6" thickTop="1" thickBot="1">
      <c r="A18" s="50"/>
      <c r="B18" s="54" t="s">
        <v>64</v>
      </c>
      <c r="C18" s="55">
        <v>1700000</v>
      </c>
      <c r="D18" s="51"/>
      <c r="E18" s="84" t="s">
        <v>65</v>
      </c>
      <c r="F18" s="85"/>
      <c r="G18" s="50"/>
    </row>
    <row r="19" spans="1:7" ht="15" thickTop="1">
      <c r="A19" s="50"/>
      <c r="B19" s="54" t="s">
        <v>66</v>
      </c>
      <c r="C19" s="55">
        <v>500000</v>
      </c>
      <c r="D19" s="51"/>
      <c r="E19" s="52" t="s">
        <v>67</v>
      </c>
      <c r="F19" s="64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5">
        <f>C15</f>
        <v>324000</v>
      </c>
      <c r="G20" s="50"/>
    </row>
    <row r="21" spans="1:7" ht="15" thickBot="1">
      <c r="A21" s="50"/>
      <c r="B21" s="56" t="s">
        <v>68</v>
      </c>
      <c r="C21" s="57">
        <v>0</v>
      </c>
      <c r="D21" s="51"/>
      <c r="E21" s="54" t="s">
        <v>70</v>
      </c>
      <c r="F21" s="65">
        <f>C22</f>
        <v>4500000</v>
      </c>
      <c r="G21" s="50"/>
    </row>
    <row r="22" spans="1:7" ht="15.6" thickTop="1" thickBot="1">
      <c r="A22" s="50"/>
      <c r="B22" s="60" t="s">
        <v>71</v>
      </c>
      <c r="C22" s="59">
        <f>SUM(C17:C21)</f>
        <v>4500000</v>
      </c>
      <c r="D22" s="51"/>
      <c r="E22" s="56" t="s">
        <v>72</v>
      </c>
      <c r="F22" s="66">
        <f>C28</f>
        <v>975000</v>
      </c>
      <c r="G22" s="50"/>
    </row>
    <row r="23" spans="1:7" ht="15.6" thickTop="1" thickBot="1">
      <c r="A23" s="50"/>
      <c r="B23" s="80" t="s">
        <v>73</v>
      </c>
      <c r="C23" s="81"/>
      <c r="D23" s="51"/>
      <c r="E23" s="58" t="s">
        <v>74</v>
      </c>
      <c r="F23" s="59">
        <f>SUM(F19:F22)</f>
        <v>9052500</v>
      </c>
      <c r="G23" s="50"/>
    </row>
    <row r="24" spans="1:7" ht="15.6" thickTop="1" thickBot="1">
      <c r="A24" s="50"/>
      <c r="B24" s="52" t="s">
        <v>75</v>
      </c>
      <c r="C24" s="53">
        <v>525000</v>
      </c>
      <c r="D24" s="51"/>
      <c r="E24" s="84" t="s">
        <v>76</v>
      </c>
      <c r="F24" s="85"/>
      <c r="G24" s="50"/>
    </row>
    <row r="25" spans="1:7" ht="15" thickTop="1">
      <c r="A25" s="50"/>
      <c r="B25" s="54" t="s">
        <v>77</v>
      </c>
      <c r="C25" s="55">
        <v>450000</v>
      </c>
      <c r="D25" s="51"/>
      <c r="E25" s="52" t="s">
        <v>78</v>
      </c>
      <c r="F25" s="64">
        <f>F9</f>
        <v>1793400</v>
      </c>
      <c r="G25" s="50"/>
    </row>
    <row r="26" spans="1:7" ht="15" thickBot="1">
      <c r="A26" s="50"/>
      <c r="B26" s="54" t="s">
        <v>79</v>
      </c>
      <c r="C26" s="55">
        <v>0</v>
      </c>
      <c r="D26" s="51"/>
      <c r="E26" s="56" t="s">
        <v>80</v>
      </c>
      <c r="F26" s="66">
        <f>F14</f>
        <v>550000</v>
      </c>
      <c r="G26" s="50"/>
    </row>
    <row r="27" spans="1:7" ht="15.6" thickTop="1" thickBot="1">
      <c r="A27" s="50"/>
      <c r="B27" s="56" t="s">
        <v>79</v>
      </c>
      <c r="C27" s="57">
        <v>0</v>
      </c>
      <c r="D27" s="51"/>
      <c r="E27" s="67" t="s">
        <v>81</v>
      </c>
      <c r="F27" s="59">
        <f>SUM(F25:F26)</f>
        <v>2343400</v>
      </c>
      <c r="G27" s="50"/>
    </row>
    <row r="28" spans="1:7" ht="15.6" thickTop="1" thickBot="1">
      <c r="A28" s="50"/>
      <c r="B28" s="60" t="s">
        <v>82</v>
      </c>
      <c r="C28" s="59">
        <f>SUM(C24:C27)</f>
        <v>975000</v>
      </c>
      <c r="D28" s="51"/>
      <c r="E28" s="68" t="s">
        <v>83</v>
      </c>
      <c r="F28" s="69">
        <f>F23-F27</f>
        <v>6709100</v>
      </c>
      <c r="G28" s="50"/>
    </row>
    <row r="29" spans="1:7" ht="16.8" thickTop="1" thickBot="1">
      <c r="A29" s="50"/>
      <c r="B29" s="70" t="s">
        <v>84</v>
      </c>
      <c r="C29" s="71">
        <f>C28+C22+C15+C10</f>
        <v>9052500</v>
      </c>
      <c r="D29" s="51"/>
      <c r="E29" s="68" t="s">
        <v>85</v>
      </c>
      <c r="F29" s="72">
        <f ca="1">TODAY()</f>
        <v>46257</v>
      </c>
      <c r="G29" s="50"/>
    </row>
    <row r="30" spans="1:7" ht="15" thickTop="1">
      <c r="A30" s="50"/>
      <c r="B30" s="73"/>
      <c r="C30" s="73"/>
      <c r="D30" s="50"/>
      <c r="E30" s="50"/>
      <c r="F30" s="50"/>
      <c r="G30" s="50"/>
    </row>
  </sheetData>
  <mergeCells count="13">
    <mergeCell ref="E24:F24"/>
    <mergeCell ref="E10:F10"/>
    <mergeCell ref="B11:C11"/>
    <mergeCell ref="B16:C16"/>
    <mergeCell ref="E17:F17"/>
    <mergeCell ref="E18:F18"/>
    <mergeCell ref="B23:C23"/>
    <mergeCell ref="B1:F1"/>
    <mergeCell ref="B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LENOVO</cp:lastModifiedBy>
  <cp:lastPrinted>2017-04-19T09:59:51Z</cp:lastPrinted>
  <dcterms:created xsi:type="dcterms:W3CDTF">2017-04-13T04:20:55Z</dcterms:created>
  <dcterms:modified xsi:type="dcterms:W3CDTF">2026-08-23T09:52:46Z</dcterms:modified>
</cp:coreProperties>
</file>